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lac\OneDrive\Escritorio\"/>
    </mc:Choice>
  </mc:AlternateContent>
  <xr:revisionPtr revIDLastSave="0" documentId="8_{FC1C4022-0917-44B8-8040-9A79803604CA}" xr6:coauthVersionLast="47" xr6:coauthVersionMax="47" xr10:uidLastSave="{00000000-0000-0000-0000-000000000000}"/>
  <workbookProtection workbookAlgorithmName="SHA-512" workbookHashValue="HX4PAo/1en4Zx2jBe4H/2q9FQoqrjaW5KlTokrFa/O3EeMHPYdd4EDoc6MxFJykyP/p0pAjPP/MMoPeKafmgBg==" workbookSaltValue="JZTie3Ioxo1aTADts8ss1g==" workbookSpinCount="100000" lockStructure="1"/>
  <bookViews>
    <workbookView xWindow="-120" yWindow="-120" windowWidth="29040" windowHeight="16440" xr2:uid="{00000000-000D-0000-FFFF-FFFF00000000}"/>
  </bookViews>
  <sheets>
    <sheet name="APLICACION" sheetId="1" r:id="rId1"/>
    <sheet name="CORRECCION" sheetId="3" r:id="rId2"/>
    <sheet name="FACETAS GROSSMAN" sheetId="7" r:id="rId3"/>
    <sheet name="RPTA SIGNIFICATIVAS" sheetId="8" r:id="rId4"/>
    <sheet name="Sheet1" sheetId="10" state="hidden" r:id="rId5"/>
    <sheet name="RESULTADOS" sheetId="2" state="hidden" r:id="rId6"/>
    <sheet name="PUNT-DIRECTA" sheetId="4" state="hidden" r:id="rId7"/>
    <sheet name="PERCENTIL" sheetId="5" state="hidden" r:id="rId8"/>
    <sheet name="PERCENTIL2" sheetId="6" state="hidden" r:id="rId9"/>
    <sheet name="PERCENTIL GROSSMAN" sheetId="9" state="hidden" r:id="rId10"/>
  </sheets>
  <definedNames>
    <definedName name="TABLAPD">'PUNT-DIRECTA'!$B$3:$AB$33</definedName>
    <definedName name="TABLAPER">PERCENTIL2!$A$3:$Z$119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8" l="1"/>
  <c r="D21" i="8" s="1"/>
  <c r="C20" i="8"/>
  <c r="D20" i="8" s="1"/>
  <c r="C19" i="8"/>
  <c r="D19" i="8" s="1"/>
  <c r="C18" i="8"/>
  <c r="D18" i="8" s="1"/>
  <c r="C17" i="8"/>
  <c r="D17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D10" i="8" s="1"/>
  <c r="C9" i="8"/>
  <c r="D9" i="8" s="1"/>
  <c r="C66" i="7"/>
  <c r="D66" i="7" s="1"/>
  <c r="E66" i="7" s="1" a="1"/>
  <c r="E66" i="7" s="1"/>
  <c r="C65" i="7"/>
  <c r="D65" i="7" s="1"/>
  <c r="E65" i="7" s="1" a="1"/>
  <c r="E65" i="7" s="1"/>
  <c r="C64" i="7"/>
  <c r="D64" i="7" s="1"/>
  <c r="E64" i="7" s="1" a="1"/>
  <c r="E64" i="7" s="1"/>
  <c r="D62" i="7"/>
  <c r="E62" i="7" s="1" a="1"/>
  <c r="E62" i="7" s="1"/>
  <c r="C62" i="7"/>
  <c r="C61" i="7"/>
  <c r="D61" i="7" s="1"/>
  <c r="E61" i="7" s="1" a="1"/>
  <c r="E61" i="7" s="1"/>
  <c r="C60" i="7"/>
  <c r="D60" i="7" s="1"/>
  <c r="E60" i="7" s="1" a="1"/>
  <c r="E60" i="7" s="1"/>
  <c r="C58" i="7"/>
  <c r="D58" i="7" s="1"/>
  <c r="E58" i="7" s="1" a="1"/>
  <c r="E58" i="7" s="1"/>
  <c r="D57" i="7"/>
  <c r="E57" i="7" s="1" a="1"/>
  <c r="E57" i="7" s="1"/>
  <c r="C57" i="7"/>
  <c r="C56" i="7"/>
  <c r="D56" i="7" s="1"/>
  <c r="E56" i="7" s="1" a="1"/>
  <c r="E56" i="7" s="1"/>
  <c r="C54" i="7"/>
  <c r="D54" i="7" s="1"/>
  <c r="E54" i="7" s="1" a="1"/>
  <c r="E54" i="7" s="1"/>
  <c r="C53" i="7"/>
  <c r="D53" i="7" s="1"/>
  <c r="E53" i="7" s="1" a="1"/>
  <c r="E53" i="7" s="1"/>
  <c r="D52" i="7"/>
  <c r="E52" i="7" s="1" a="1"/>
  <c r="E52" i="7" s="1"/>
  <c r="C52" i="7"/>
  <c r="D50" i="7"/>
  <c r="E50" i="7" s="1" a="1"/>
  <c r="E50" i="7" s="1"/>
  <c r="C50" i="7"/>
  <c r="E49" i="7" a="1"/>
  <c r="E49" i="7" s="1"/>
  <c r="D49" i="7"/>
  <c r="C49" i="7"/>
  <c r="C48" i="7"/>
  <c r="D48" i="7" s="1"/>
  <c r="E48" i="7" s="1" a="1"/>
  <c r="E48" i="7" s="1"/>
  <c r="C46" i="7"/>
  <c r="D46" i="7" s="1"/>
  <c r="E46" i="7" s="1" a="1"/>
  <c r="E46" i="7" s="1"/>
  <c r="D45" i="7"/>
  <c r="E45" i="7" s="1" a="1"/>
  <c r="E45" i="7" s="1"/>
  <c r="C45" i="7"/>
  <c r="C44" i="7"/>
  <c r="D44" i="7" s="1"/>
  <c r="E44" i="7" s="1" a="1"/>
  <c r="E44" i="7" s="1"/>
  <c r="C42" i="7"/>
  <c r="D42" i="7" s="1"/>
  <c r="E42" i="7" s="1" a="1"/>
  <c r="E42" i="7" s="1"/>
  <c r="E41" i="7" a="1"/>
  <c r="E41" i="7" s="1"/>
  <c r="D41" i="7"/>
  <c r="C41" i="7"/>
  <c r="D40" i="7"/>
  <c r="E40" i="7" s="1" a="1"/>
  <c r="E40" i="7" s="1"/>
  <c r="C40" i="7"/>
  <c r="C38" i="7"/>
  <c r="D38" i="7" s="1"/>
  <c r="E38" i="7" s="1" a="1"/>
  <c r="E38" i="7" s="1"/>
  <c r="C37" i="7"/>
  <c r="D37" i="7" s="1"/>
  <c r="E37" i="7" s="1" a="1"/>
  <c r="E37" i="7" s="1"/>
  <c r="C36" i="7"/>
  <c r="D36" i="7" s="1"/>
  <c r="E36" i="7" s="1" a="1"/>
  <c r="E36" i="7" s="1"/>
  <c r="C34" i="7"/>
  <c r="D34" i="7" s="1"/>
  <c r="E34" i="7" s="1" a="1"/>
  <c r="E34" i="7" s="1"/>
  <c r="D33" i="7"/>
  <c r="E33" i="7" s="1" a="1"/>
  <c r="E33" i="7" s="1"/>
  <c r="C33" i="7"/>
  <c r="E32" i="7" a="1"/>
  <c r="E32" i="7" s="1"/>
  <c r="D32" i="7"/>
  <c r="C32" i="7"/>
  <c r="D30" i="7"/>
  <c r="E30" i="7" s="1" a="1"/>
  <c r="E30" i="7" s="1"/>
  <c r="C30" i="7"/>
  <c r="C29" i="7"/>
  <c r="D29" i="7" s="1"/>
  <c r="E29" i="7" s="1" a="1"/>
  <c r="E29" i="7" s="1"/>
  <c r="C28" i="7"/>
  <c r="D28" i="7" s="1"/>
  <c r="E28" i="7" s="1" a="1"/>
  <c r="E28" i="7" s="1"/>
  <c r="C26" i="7"/>
  <c r="D26" i="7" s="1"/>
  <c r="E26" i="7" s="1" a="1"/>
  <c r="E26" i="7" s="1"/>
  <c r="C25" i="7"/>
  <c r="D25" i="7" s="1"/>
  <c r="E25" i="7" s="1" a="1"/>
  <c r="E25" i="7" s="1"/>
  <c r="D24" i="7"/>
  <c r="E24" i="7" s="1" a="1"/>
  <c r="E24" i="7" s="1"/>
  <c r="C24" i="7"/>
  <c r="C22" i="7"/>
  <c r="D22" i="7" s="1"/>
  <c r="E22" i="7" s="1" a="1"/>
  <c r="E22" i="7" s="1"/>
  <c r="D21" i="7"/>
  <c r="E21" i="7" s="1" a="1"/>
  <c r="E21" i="7" s="1"/>
  <c r="C21" i="7"/>
  <c r="C20" i="7"/>
  <c r="D20" i="7" s="1"/>
  <c r="E20" i="7" s="1" a="1"/>
  <c r="E20" i="7" s="1"/>
  <c r="C18" i="7"/>
  <c r="D18" i="7" s="1"/>
  <c r="E18" i="7" s="1" a="1"/>
  <c r="E18" i="7" s="1"/>
  <c r="C17" i="7"/>
  <c r="D17" i="7" s="1"/>
  <c r="E17" i="7" s="1" a="1"/>
  <c r="E17" i="7" s="1"/>
  <c r="D16" i="7"/>
  <c r="E16" i="7" s="1" a="1"/>
  <c r="E16" i="7" s="1"/>
  <c r="C16" i="7"/>
  <c r="C14" i="7"/>
  <c r="D14" i="7" s="1"/>
  <c r="E14" i="7" s="1" a="1"/>
  <c r="E14" i="7" s="1"/>
  <c r="D13" i="7"/>
  <c r="E13" i="7" s="1" a="1"/>
  <c r="E13" i="7" s="1"/>
  <c r="C13" i="7"/>
  <c r="D12" i="7"/>
  <c r="E12" i="7" s="1" a="1"/>
  <c r="E12" i="7" s="1"/>
  <c r="C12" i="7"/>
  <c r="C10" i="7"/>
  <c r="D10" i="7" s="1"/>
  <c r="E10" i="7" s="1" a="1"/>
  <c r="E10" i="7" s="1"/>
  <c r="C9" i="7"/>
  <c r="D9" i="7" s="1"/>
  <c r="E9" i="7" s="1" a="1"/>
  <c r="E9" i="7" s="1"/>
  <c r="C8" i="7"/>
  <c r="D8" i="7" s="1"/>
  <c r="E8" i="7" s="1" a="1"/>
  <c r="E8" i="7" s="1"/>
  <c r="D44" i="3"/>
  <c r="M44" i="3" s="1" a="1"/>
  <c r="M44" i="3" s="1"/>
  <c r="C44" i="3"/>
  <c r="D41" i="3"/>
  <c r="M41" i="3" s="1" a="1"/>
  <c r="M41" i="3" s="1"/>
  <c r="C41" i="3"/>
  <c r="C37" i="3"/>
  <c r="D37" i="3" s="1"/>
  <c r="C29" i="3"/>
  <c r="D29" i="3" s="1"/>
  <c r="C24" i="3"/>
  <c r="D24" i="3" s="1"/>
  <c r="D22" i="3"/>
  <c r="M22" i="3" s="1" a="1"/>
  <c r="M22" i="3" s="1"/>
  <c r="C22" i="3"/>
  <c r="C15" i="3"/>
  <c r="D15" i="3" s="1"/>
  <c r="M15" i="3" s="1"/>
  <c r="D14" i="3"/>
  <c r="M14" i="3" s="1"/>
  <c r="C14" i="3"/>
  <c r="D11" i="3"/>
  <c r="M11" i="3" s="1"/>
  <c r="H69" i="1"/>
  <c r="H68" i="1"/>
  <c r="H67" i="1"/>
  <c r="F65" i="1"/>
  <c r="F64" i="1"/>
  <c r="F63" i="1"/>
  <c r="C13" i="3" s="1"/>
  <c r="D13" i="3" s="1"/>
  <c r="M13" i="3" s="1" a="1"/>
  <c r="M13" i="3" s="1"/>
  <c r="K59" i="1"/>
  <c r="R58" i="1"/>
  <c r="Q58" i="1"/>
  <c r="Q59" i="1" s="1"/>
  <c r="P58" i="1"/>
  <c r="O58" i="1"/>
  <c r="O59" i="1" s="1"/>
  <c r="L58" i="1"/>
  <c r="K58" i="1"/>
  <c r="J58" i="1"/>
  <c r="H58" i="1"/>
  <c r="G59" i="1" s="1"/>
  <c r="G58" i="1"/>
  <c r="F58" i="1"/>
  <c r="E58" i="1"/>
  <c r="E59" i="1" s="1"/>
  <c r="R57" i="1"/>
  <c r="Q57" i="1"/>
  <c r="P57" i="1"/>
  <c r="O57" i="1"/>
  <c r="N57" i="1"/>
  <c r="N58" i="1" s="1"/>
  <c r="M57" i="1"/>
  <c r="M58" i="1" s="1"/>
  <c r="M59" i="1" s="1"/>
  <c r="L57" i="1"/>
  <c r="K57" i="1"/>
  <c r="J57" i="1"/>
  <c r="I57" i="1"/>
  <c r="I58" i="1" s="1"/>
  <c r="I59" i="1" s="1"/>
  <c r="H57" i="1"/>
  <c r="G57" i="1"/>
  <c r="F57" i="1"/>
  <c r="E57" i="1"/>
  <c r="T54" i="1"/>
  <c r="O54" i="1"/>
  <c r="O55" i="1" s="1"/>
  <c r="N54" i="1"/>
  <c r="I54" i="1"/>
  <c r="I55" i="1" s="1"/>
  <c r="H54" i="1"/>
  <c r="V53" i="1"/>
  <c r="V54" i="1" s="1"/>
  <c r="U53" i="1"/>
  <c r="U54" i="1" s="1"/>
  <c r="T53" i="1"/>
  <c r="S53" i="1"/>
  <c r="S54" i="1" s="1"/>
  <c r="S55" i="1" s="1"/>
  <c r="R53" i="1"/>
  <c r="R54" i="1" s="1"/>
  <c r="Q53" i="1"/>
  <c r="Q54" i="1" s="1"/>
  <c r="Q55" i="1" s="1"/>
  <c r="P53" i="1"/>
  <c r="P54" i="1" s="1"/>
  <c r="O53" i="1"/>
  <c r="N53" i="1"/>
  <c r="M53" i="1"/>
  <c r="M54" i="1" s="1"/>
  <c r="M55" i="1" s="1"/>
  <c r="L53" i="1"/>
  <c r="L54" i="1" s="1"/>
  <c r="K53" i="1"/>
  <c r="K54" i="1" s="1"/>
  <c r="K55" i="1" s="1"/>
  <c r="J53" i="1"/>
  <c r="J54" i="1" s="1"/>
  <c r="I53" i="1"/>
  <c r="H53" i="1"/>
  <c r="G53" i="1"/>
  <c r="G54" i="1" s="1"/>
  <c r="G55" i="1" s="1"/>
  <c r="F53" i="1"/>
  <c r="F54" i="1" s="1"/>
  <c r="E53" i="1"/>
  <c r="E54" i="1" s="1"/>
  <c r="V50" i="1"/>
  <c r="U50" i="1"/>
  <c r="U51" i="1" s="1"/>
  <c r="Q50" i="1"/>
  <c r="L50" i="1"/>
  <c r="K50" i="1"/>
  <c r="K51" i="1" s="1"/>
  <c r="F50" i="1"/>
  <c r="E50" i="1"/>
  <c r="E51" i="1" s="1"/>
  <c r="V49" i="1"/>
  <c r="U49" i="1"/>
  <c r="T49" i="1"/>
  <c r="T50" i="1" s="1"/>
  <c r="S49" i="1"/>
  <c r="S50" i="1" s="1"/>
  <c r="S51" i="1" s="1"/>
  <c r="R49" i="1"/>
  <c r="R50" i="1" s="1"/>
  <c r="Q49" i="1"/>
  <c r="P49" i="1"/>
  <c r="P50" i="1" s="1"/>
  <c r="O49" i="1"/>
  <c r="O50" i="1" s="1"/>
  <c r="O51" i="1" s="1"/>
  <c r="N49" i="1"/>
  <c r="N50" i="1" s="1"/>
  <c r="M49" i="1"/>
  <c r="M50" i="1" s="1"/>
  <c r="M51" i="1" s="1"/>
  <c r="L49" i="1"/>
  <c r="K49" i="1"/>
  <c r="J49" i="1"/>
  <c r="J50" i="1" s="1"/>
  <c r="I49" i="1"/>
  <c r="I50" i="1" s="1"/>
  <c r="I51" i="1" s="1"/>
  <c r="H49" i="1"/>
  <c r="H50" i="1" s="1"/>
  <c r="G49" i="1"/>
  <c r="G50" i="1" s="1"/>
  <c r="G51" i="1" s="1"/>
  <c r="F49" i="1"/>
  <c r="E49" i="1"/>
  <c r="E46" i="1"/>
  <c r="E44" i="1"/>
  <c r="C45" i="3" s="1"/>
  <c r="D45" i="3" s="1"/>
  <c r="E43" i="1"/>
  <c r="E42" i="1"/>
  <c r="C43" i="3" s="1"/>
  <c r="D43" i="3" s="1"/>
  <c r="E41" i="1"/>
  <c r="C42" i="3" s="1"/>
  <c r="D42" i="3" s="1"/>
  <c r="E40" i="1"/>
  <c r="E39" i="1"/>
  <c r="C40" i="3" s="1"/>
  <c r="D40" i="3" s="1"/>
  <c r="E38" i="1"/>
  <c r="C39" i="3" s="1"/>
  <c r="D39" i="3" s="1"/>
  <c r="E37" i="1"/>
  <c r="C38" i="3" s="1"/>
  <c r="D38" i="3" s="1"/>
  <c r="E36" i="1"/>
  <c r="E35" i="1"/>
  <c r="C36" i="3" s="1"/>
  <c r="D36" i="3" s="1"/>
  <c r="E31" i="1"/>
  <c r="C33" i="3" s="1"/>
  <c r="D33" i="3" s="1"/>
  <c r="E30" i="1"/>
  <c r="C32" i="3" s="1"/>
  <c r="D32" i="3" s="1"/>
  <c r="E29" i="1"/>
  <c r="C31" i="3" s="1"/>
  <c r="D31" i="3" s="1"/>
  <c r="E28" i="1"/>
  <c r="E27" i="1"/>
  <c r="C28" i="3" s="1"/>
  <c r="D28" i="3" s="1"/>
  <c r="E26" i="1"/>
  <c r="C27" i="3" s="1"/>
  <c r="D27" i="3" s="1"/>
  <c r="E25" i="1"/>
  <c r="C26" i="3" s="1"/>
  <c r="D26" i="3" s="1"/>
  <c r="E24" i="1"/>
  <c r="C25" i="3" s="1"/>
  <c r="D25" i="3" s="1"/>
  <c r="E23" i="1"/>
  <c r="E22" i="1"/>
  <c r="C23" i="3" s="1"/>
  <c r="D23" i="3" s="1"/>
  <c r="E21" i="1"/>
  <c r="E20" i="1"/>
  <c r="C21" i="3" s="1"/>
  <c r="D21" i="3" s="1"/>
  <c r="E19" i="1"/>
  <c r="C20" i="3" s="1"/>
  <c r="D20" i="3" s="1"/>
  <c r="E18" i="1"/>
  <c r="C19" i="3" s="1"/>
  <c r="D19" i="3" s="1"/>
  <c r="E17" i="1"/>
  <c r="C18" i="3" s="1"/>
  <c r="D18" i="3" s="1"/>
  <c r="M43" i="3" l="1" a="1"/>
  <c r="M43" i="3" s="1"/>
  <c r="H43" i="3"/>
  <c r="M45" i="3" a="1"/>
  <c r="M45" i="3" s="1"/>
  <c r="H45" i="3"/>
  <c r="D39" i="7"/>
  <c r="E39" i="7" s="1" a="1"/>
  <c r="E39" i="7" s="1"/>
  <c r="M26" i="3" a="1"/>
  <c r="M26" i="3" s="1"/>
  <c r="H26" i="3"/>
  <c r="M23" i="3" a="1"/>
  <c r="M23" i="3" s="1"/>
  <c r="H23" i="3"/>
  <c r="D27" i="7"/>
  <c r="E27" i="7" s="1" a="1"/>
  <c r="E27" i="7" s="1"/>
  <c r="D47" i="7"/>
  <c r="E47" i="7" s="1" a="1"/>
  <c r="E47" i="7" s="1"/>
  <c r="M28" i="3" a="1"/>
  <c r="M28" i="3" s="1"/>
  <c r="H28" i="3"/>
  <c r="M25" i="3" a="1"/>
  <c r="M25" i="3" s="1"/>
  <c r="H25" i="3"/>
  <c r="D35" i="7"/>
  <c r="E35" i="7" s="1" a="1"/>
  <c r="E35" i="7" s="1"/>
  <c r="M42" i="3" a="1"/>
  <c r="M42" i="3" s="1"/>
  <c r="H42" i="3"/>
  <c r="D55" i="7"/>
  <c r="E55" i="7" s="1" a="1"/>
  <c r="E55" i="7" s="1"/>
  <c r="H31" i="3"/>
  <c r="M31" i="3" a="1"/>
  <c r="M31" i="3" s="1"/>
  <c r="M33" i="3" a="1"/>
  <c r="M33" i="3" s="1"/>
  <c r="H33" i="3"/>
  <c r="D63" i="7"/>
  <c r="E63" i="7" s="1" a="1"/>
  <c r="E63" i="7" s="1"/>
  <c r="D43" i="7"/>
  <c r="E43" i="7" s="1" a="1"/>
  <c r="E43" i="7" s="1"/>
  <c r="M27" i="3" a="1"/>
  <c r="M27" i="3" s="1"/>
  <c r="H27" i="3"/>
  <c r="J60" i="1"/>
  <c r="D12" i="3" s="1"/>
  <c r="M12" i="3" s="1"/>
  <c r="H36" i="3"/>
  <c r="M36" i="3" a="1"/>
  <c r="M36" i="3" s="1"/>
  <c r="M24" i="3" a="1"/>
  <c r="M24" i="3" s="1"/>
  <c r="H24" i="3"/>
  <c r="D31" i="7"/>
  <c r="E31" i="7" s="1" a="1"/>
  <c r="E31" i="7" s="1"/>
  <c r="H18" i="3"/>
  <c r="D7" i="7"/>
  <c r="E7" i="7" s="1" a="1"/>
  <c r="E7" i="7" s="1"/>
  <c r="M18" i="3" a="1"/>
  <c r="M18" i="3" s="1"/>
  <c r="Q51" i="1"/>
  <c r="M29" i="3" a="1"/>
  <c r="M29" i="3" s="1"/>
  <c r="D51" i="7"/>
  <c r="E51" i="7" s="1" a="1"/>
  <c r="E51" i="7" s="1"/>
  <c r="H29" i="3"/>
  <c r="M37" i="3" a="1"/>
  <c r="M37" i="3" s="1"/>
  <c r="H37" i="3"/>
  <c r="D59" i="7"/>
  <c r="E59" i="7" s="1" a="1"/>
  <c r="E59" i="7" s="1"/>
  <c r="M32" i="3" a="1"/>
  <c r="M32" i="3" s="1"/>
  <c r="H32" i="3"/>
  <c r="M19" i="3" a="1"/>
  <c r="M19" i="3" s="1"/>
  <c r="D11" i="7"/>
  <c r="E11" i="7" s="1" a="1"/>
  <c r="E11" i="7" s="1"/>
  <c r="H19" i="3"/>
  <c r="H39" i="3"/>
  <c r="M39" i="3" a="1"/>
  <c r="M39" i="3" s="1"/>
  <c r="H40" i="3"/>
  <c r="M40" i="3" a="1"/>
  <c r="M40" i="3" s="1"/>
  <c r="E55" i="1"/>
  <c r="U55" i="1"/>
  <c r="H41" i="3"/>
  <c r="H44" i="3"/>
  <c r="D23" i="7"/>
  <c r="E23" i="7" s="1" a="1"/>
  <c r="E23" i="7" s="1"/>
  <c r="H22" i="3"/>
  <c r="H20" i="3"/>
  <c r="M20" i="3" a="1"/>
  <c r="M20" i="3" s="1"/>
  <c r="D15" i="7"/>
  <c r="E15" i="7" s="1" a="1"/>
  <c r="E15" i="7" s="1"/>
  <c r="H38" i="3"/>
  <c r="M38" i="3" a="1"/>
  <c r="M38" i="3" s="1"/>
  <c r="M21" i="3" a="1"/>
  <c r="M21" i="3" s="1"/>
  <c r="H21" i="3"/>
  <c r="D19" i="7"/>
  <c r="E19" i="7" s="1" a="1"/>
  <c r="E19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<sst xmlns="http://schemas.openxmlformats.org/spreadsheetml/2006/main" count="2034" uniqueCount="402">
  <si>
    <r>
      <rPr>
        <b/>
        <u/>
        <sz val="24"/>
        <rFont val="Times New Roman"/>
        <charset val="134"/>
      </rPr>
      <t xml:space="preserve">Instrucciones: </t>
    </r>
    <r>
      <rPr>
        <b/>
        <sz val="11"/>
        <rFont val="Times New Roman"/>
        <charset val="134"/>
      </rPr>
      <t xml:space="preserve">
La persona deberá responder las afirmaciones con una "1"  en la casilla correspondiente.
Elegirá la opción de "Verdadero" " casilla izquierda. 
Elegirá la opción de "Falso" casilla derecha.
Trate de marcar cada frase aún cuando no está seguro de su decisión.
 Si ha intentado y todavía no se puede decidir, marque el Falso.
Procure no hacer dobles respuestas.
</t>
    </r>
  </si>
  <si>
    <t>ITEMS</t>
  </si>
  <si>
    <t>V</t>
  </si>
  <si>
    <t>F</t>
  </si>
  <si>
    <t>Últimamente parece que me quedo sin fuerzas incluso por las mañanas.</t>
  </si>
  <si>
    <t>Siempre me aseguro de que mi trabajo esté bien planeado y organizado.</t>
  </si>
  <si>
    <t>Disfruto haciendo tantas cosas diferentes que no puedo decidir por cuál empezar.</t>
  </si>
  <si>
    <t>Me preocupa que las personas de las que dependo me abandonen.</t>
  </si>
  <si>
    <t>Aunque me da miedo hacer amistades, me gustaría tener más de las que tengo.</t>
  </si>
  <si>
    <t>Raramente exteriorizo los pocos sentimientos que tengo.</t>
  </si>
  <si>
    <t>Me cuesta mantener el equilibrio cuando camino.</t>
  </si>
  <si>
    <t>Siempre busco oportunidades nuevas que me resulten emocionantes.</t>
  </si>
  <si>
    <t>Algunas veces puedo ser bastante duro y desagradable con mi familia</t>
  </si>
  <si>
    <t>Me gusta ser el centro de atención.</t>
  </si>
  <si>
    <t>De adolescente tuve muchos problemas por mi mal comportamiento en la escuela o instituto.</t>
  </si>
  <si>
    <t>Me da miedo hacerme muy amigo de alguien, por que podría acabar sintiéndome ridiculizado o avergonzado.</t>
  </si>
  <si>
    <t>Noto que la gente está hablando de mí cuando paso a su lado.</t>
  </si>
  <si>
    <t>Hace uno años comencé a sentirme un fracasado.</t>
  </si>
  <si>
    <t>Si puedo elegir, prefiero hacer las cosas solo.</t>
  </si>
  <si>
    <t>Últimamente he comenzado a sentir deseos de destrozar cosas.</t>
  </si>
  <si>
    <t>Las cosas que hoy van bien no durarán mucho tiempo.</t>
  </si>
  <si>
    <t>A veces, cuando las cosas empiezan a irme mal, me siento como si estuviera loco o fuera de la realidad.</t>
  </si>
  <si>
    <t>Hago lo que quiero sin preocuparme de las consecuencias que tenga en los demás.</t>
  </si>
  <si>
    <t>Afronto mis actividades diarias con mucha energía y persistencia.</t>
  </si>
  <si>
    <t>Nunca perdono una ofensa ni olvido una situación embarazosa que alguien me haya causado.</t>
  </si>
  <si>
    <t>Me siento extremadamente deprimido y triste gran parte del tiempo.</t>
  </si>
  <si>
    <t>Siempre tiendo a culparme cuando las cosas van mal.</t>
  </si>
  <si>
    <t>Hace mucho decidí que es mejor tener poca relación con la gente.</t>
  </si>
  <si>
    <t>Tengo un problema con el alcohol que nos ha creado dificultades a mí y a mi familia.</t>
  </si>
  <si>
    <t>Soy una persona socialmente muy reservada y tímida.</t>
  </si>
  <si>
    <t>Muchas veces me siento muy alegre y animado sin ninguna razón.</t>
  </si>
  <si>
    <t>En las últimas semanas me he sentido agotado sin ningún motivo en particular.</t>
  </si>
  <si>
    <t>Mi tiempo es más valioso que el de los demás.</t>
  </si>
  <si>
    <t>Siempre estoy buscando hacer nuevas amistades y conocer gente nueva.</t>
  </si>
  <si>
    <t>Desde hace unas semanas estoy muy nervioso.</t>
  </si>
  <si>
    <t>Simplemente, no he tenido la suerte que otras personas han tenido en la vida.</t>
  </si>
  <si>
    <t>Las ideas me dan vueltas en la cabeza una y otra vez y no desaparecen.</t>
  </si>
  <si>
    <t>Validez</t>
  </si>
  <si>
    <t>Desde hace uno o dos años, al pensar sobre la vida, me siento muy triste y desanimado.</t>
  </si>
  <si>
    <t>Intento hacerlo todo tan perfecto como sea posible.</t>
  </si>
  <si>
    <t>Mi adicción a las drogas hizo que faltara al trabajo.</t>
  </si>
  <si>
    <t>22-170</t>
  </si>
  <si>
    <t>125-143</t>
  </si>
  <si>
    <t>47-157</t>
  </si>
  <si>
    <t>40 - 181</t>
  </si>
  <si>
    <t>81 - 116</t>
  </si>
  <si>
    <t>85-116</t>
  </si>
  <si>
    <t>76-150</t>
  </si>
  <si>
    <t>25-94</t>
  </si>
  <si>
    <t>44 -121</t>
  </si>
  <si>
    <t>Mi estado de ánimo varía mucho de un día para otro.</t>
  </si>
  <si>
    <t>Utilizo mi encanto para conseguir lo que quiero.</t>
  </si>
  <si>
    <t>A menudo pienso que no merezco las cosas buenas que me pasan.</t>
  </si>
  <si>
    <t>En el pasado me corté o autolesioné a propósito</t>
  </si>
  <si>
    <t>39-59</t>
  </si>
  <si>
    <t>17-184</t>
  </si>
  <si>
    <t>33- 89</t>
  </si>
  <si>
    <t>78-164</t>
  </si>
  <si>
    <t>38-171</t>
  </si>
  <si>
    <t>74-115</t>
  </si>
  <si>
    <t>46 - 154</t>
  </si>
  <si>
    <t>26-99</t>
  </si>
  <si>
    <t>20-174</t>
  </si>
  <si>
    <t>Tengo la sensación de que no duermo, y me levanto tan cansado como al acostarme.</t>
  </si>
  <si>
    <t>A menudo dejo que los demás tomen por mis decisiones importantes.</t>
  </si>
  <si>
    <t>Parece que pocas cosas me entristecen o me alegran.</t>
  </si>
  <si>
    <t>A menudo tengo pensamientos extraños de los que desearía librarme.</t>
  </si>
  <si>
    <t>32-122</t>
  </si>
  <si>
    <t>13-112</t>
  </si>
  <si>
    <t>55-110</t>
  </si>
  <si>
    <t>173- 194</t>
  </si>
  <si>
    <t>95-127</t>
  </si>
  <si>
    <t>60-162</t>
  </si>
  <si>
    <t>15-149</t>
  </si>
  <si>
    <t>Tengo muchos problemas para controlar el impulso de beber alcohol en exceso.</t>
  </si>
  <si>
    <t>Hago amistades con mucha más facilidad que la mayoría de la gente que conozco.</t>
  </si>
  <si>
    <t>Me da vergüenza el maltrato que sufrí cuando era joven.</t>
  </si>
  <si>
    <t>Me parece muy bien que haya normas, porque son una buena guía para seguir.</t>
  </si>
  <si>
    <t>Total</t>
  </si>
  <si>
    <t>El año pasado aparecí en la portada de varias revistas.</t>
  </si>
  <si>
    <t>A menudo me enfado con la gente que hace las cosas lentamente.</t>
  </si>
  <si>
    <t>Me paso la vida preocupándome por una cosa u otra.</t>
  </si>
  <si>
    <t>Siempre me pregunto cuál es la razón real de que alguien sea específicamente agradable conmigo.</t>
  </si>
  <si>
    <t>Mis actividades cotidianas me animan y motivan.</t>
  </si>
  <si>
    <t>Tengo muchas ideas que son avanzadas para los tiempos actuales.</t>
  </si>
  <si>
    <t>Desde que sufrí una conmoción cerebral grave, ya no puedo concentrarme en nada.</t>
  </si>
  <si>
    <t>ID</t>
  </si>
  <si>
    <t xml:space="preserve">Antes la gente decía que me interesaba y me entusiasmaba demasiado por muchas cosas. </t>
  </si>
  <si>
    <t>CE</t>
  </si>
  <si>
    <t>He perdido el apetito por completo, y la mayoría de las noches tengo problemas para dormir.</t>
  </si>
  <si>
    <t>TA</t>
  </si>
  <si>
    <t>Desde que era niño he ido perdiendo contacto con la realidad.</t>
  </si>
  <si>
    <t>No puedo sentir mucho placer, porque no creo que lo merezca.</t>
  </si>
  <si>
    <t>Prefiero que me digan lo que tengo que hacer en lugar de decidir por mí mismo.</t>
  </si>
  <si>
    <t>Consumir drogas me ha causado discusiones con mi familia.</t>
  </si>
  <si>
    <t>El recuerdo de una experiencia muy perturbadora sigue presente en mis pensamientos y me obsesiona.</t>
  </si>
  <si>
    <t>La mayoría de la gente me considera una persona prudente y cuidadosa.</t>
  </si>
  <si>
    <t>Parece que he perdido el interés en la mayoría de las cosas que solía encontrar placenteras, como el sexo.</t>
  </si>
  <si>
    <t>He tenido problemas con la ley un par de veces.</t>
  </si>
  <si>
    <t>He tenido que ser muy duro con algunas personas para mantenerlas a raya.</t>
  </si>
  <si>
    <t>Estoy muy seguro de mí mismo.</t>
  </si>
  <si>
    <t>La gente intenta hacerme creer que estoy loco.</t>
  </si>
  <si>
    <t>Me doy atracones de comida un par de veces en la semana.</t>
  </si>
  <si>
    <t>Frecuentemente siento que no hay nada dentro de mí, como si estuviera vacío y hueco.</t>
  </si>
  <si>
    <t>Siempre me ha resultado difícil dejar de sentirme deprimido y triste.</t>
  </si>
  <si>
    <t>Cuando estoy solo y lejos de casa a menudo comienzo a sentirme tenso y entro en pánico.</t>
  </si>
  <si>
    <t>La gente dice que soy una persona formal y con valores morales.</t>
  </si>
  <si>
    <t>Me cuesta controlar mi ira.</t>
  </si>
  <si>
    <t>Soy una persona muy optimista.</t>
  </si>
  <si>
    <t>Años después, aún tengo pesadillas sobre un hecho que fue una amenaza real para mi vida.</t>
  </si>
  <si>
    <t>Me parece que necesito que alguien me oriente para hacer las cosas.</t>
  </si>
  <si>
    <t>Recientemente he pensado muy en serio en quitarme la vida.</t>
  </si>
  <si>
    <t>Hay gente mala que intenta llevarse el mérito de lo que he hecho o pensado.</t>
  </si>
  <si>
    <t>Últimamente estoy destrozado.</t>
  </si>
  <si>
    <t>Consumir drogas puede ser irresponsable, pero en el pasado las he necesitado.</t>
  </si>
  <si>
    <t>Soy una persona muy variable, cambio de opinión y sentimientos continuamente.</t>
  </si>
  <si>
    <t>Se me da muy bien inventar excusas cuando me meto en problemas.</t>
  </si>
  <si>
    <t>Cuando estoy en una fiesta, nunca me aíslo de los demás.</t>
  </si>
  <si>
    <t>Parece que echo a perder las buenas oportunidades que se cruzan en mi camino.</t>
  </si>
  <si>
    <t>Algunas veces me provoco el vómito después de comer.</t>
  </si>
  <si>
    <t>Soy una persona especial, así que no me importa lo que piensen los demás.</t>
  </si>
  <si>
    <t>Observo atentamente a mi familia para saber en quien se puede confiar y en quién no.</t>
  </si>
  <si>
    <t>Ciertos pensamientos vuelven a mi mente una y otra vez.</t>
  </si>
  <si>
    <t>Pocas cosas en la vida me resultan placenteras.</t>
  </si>
  <si>
    <t>Me siento agitado y me cuesta conciliar el sueño porque tengo recuerdos dolorosos dando vueltas en mi cabeza.</t>
  </si>
  <si>
    <t>A menudo me pierdo en mis pensamientos y me olvido de lo que está pasando a mi alrededor.</t>
  </si>
  <si>
    <t>Nunca he podido dejar de sentir que no valgo nada para los demás.</t>
  </si>
  <si>
    <t>Tengo un problema con la bebida que he tratado de solucionar sin éxito.</t>
  </si>
  <si>
    <t>Alguien ha estado intentando controlar mi mente.</t>
  </si>
  <si>
    <t>La mayoría de las personas que han triunfado han tenido suerte o han sido deshonestas.</t>
  </si>
  <si>
    <t>A menudo irrito a la gente dándoles órdenes.</t>
  </si>
  <si>
    <t>No he visto un coche en los últimos diez años.</t>
  </si>
  <si>
    <t>Siempre me siento cohibido y tenso en las reuniones sociales.</t>
  </si>
  <si>
    <t>Creo que provoco situaciones en las que resulto herido o me siento rechazado.</t>
  </si>
  <si>
    <t>Me siento profundamente deprimido sin saber por qué.</t>
  </si>
  <si>
    <t>La gente dice que soy una persona delgada, pero creo que mis muslos y mi trasero son demasiado grandes.</t>
  </si>
  <si>
    <t>A menudo disfruto provocando una discusión o una pelea.</t>
  </si>
  <si>
    <t>Tengo mucho cuidado en mantener mi vida como algo privado, para que nadie pueda aprovecharse de mí.</t>
  </si>
  <si>
    <t>El consumo de drogas me ha causado muchos problemas.</t>
  </si>
  <si>
    <t>A menudo me echan la culpa por las cosas de las que no soy responsable.</t>
  </si>
  <si>
    <t>Pensar en el futuro al inicio de cada día me hace sentir extremadamente deprimido.</t>
  </si>
  <si>
    <t>A veces las personas se molestan conmigo porque dicen que hablo mucho o demasiado rápido.</t>
  </si>
  <si>
    <t>Yo nunca podría arreglármelas solo.</t>
  </si>
  <si>
    <t>Mi cabeza no funciona bien desde que hace unos años tuve una lesión cerebral.</t>
  </si>
  <si>
    <t>Me siento solo y vacío la mayor parte del tiempo.</t>
  </si>
  <si>
    <t>La gente se burla de mí a mis espaldas.</t>
  </si>
  <si>
    <t>Últimamente sudo mucho y me siento muy tenso.</t>
  </si>
  <si>
    <t>Estas últimas semanas me sentido cada vez más triste.</t>
  </si>
  <si>
    <t>Me enfurezco rápidamente con la gente que me molesta.</t>
  </si>
  <si>
    <t>A veces no he podido pasar el día sin tomar drogas.</t>
  </si>
  <si>
    <t>Me gusta mucho coquetear.</t>
  </si>
  <si>
    <t>Ya no tengo energía para concentrarme en mis responsabilidades.</t>
  </si>
  <si>
    <t>Mis emociones no parecen ser tan intensas como las del resto de la gente.</t>
  </si>
  <si>
    <t>Me siento débil y cansado la mayor parte del tiempo.</t>
  </si>
  <si>
    <t>Ideas extrañas entran en mi mente, dan vueltas y vueltas en mi cabeza, y no desaparecen.</t>
  </si>
  <si>
    <t>Los demás tienen oportunidades que yo no tengo.</t>
  </si>
  <si>
    <t>Repito ciertos comportamientos una y otra vez, algunas veces para reducir mi ansiedad y otras para evitar que pase algo malo</t>
  </si>
  <si>
    <t>He tomado medicación que me habían recetado.</t>
  </si>
  <si>
    <t>Mi vida actual todavía se ve afectada por recuerdos e imágenes de algo terrible que me pasó.</t>
  </si>
  <si>
    <t>A menudo echo a perder las cosas buenas que me ocurren.</t>
  </si>
  <si>
    <t>Voces malvadas intentan apoderarse de mi mente.</t>
  </si>
  <si>
    <t>Me siento muy culpable cuando pierdo el control.</t>
  </si>
  <si>
    <t>Mi entusiasmo por el trabajo que hago nunca disminuye.</t>
  </si>
  <si>
    <t>Supongo que no soy diferente de mis padres ya que, en cierto modo, me he convertido en un alcohólico.</t>
  </si>
  <si>
    <t>Últimamente tengo que pensar las cosas una y otra vez sin ningún motivo.</t>
  </si>
  <si>
    <t>Animo a los demás a que admiren lo que digo o hago.</t>
  </si>
  <si>
    <t>Dejo de hacer cosas si tengo que hacerlas solo.</t>
  </si>
  <si>
    <t>He intentado suicidarme.</t>
  </si>
  <si>
    <t>Soy una persona miedosa y reservada.</t>
  </si>
  <si>
    <t>A las personas que supuestamente son mis amigos les gustaría hacerme daño.</t>
  </si>
  <si>
    <t>A menudo me dejo llevar por la rabia y luego me siento culpable.</t>
  </si>
  <si>
    <t>A menudo oigo cosas con tanta claridad que me molesta.</t>
  </si>
  <si>
    <t>Aparte de mi familia, tengo muy pocos amigos íntimos.</t>
  </si>
  <si>
    <t>La desorganización me hace sentir muy incómodo.</t>
  </si>
  <si>
    <t>A menudo critico mucho a la gente que me irrita.</t>
  </si>
  <si>
    <t>Tengo muchas cualidades que los demás querrían tener.</t>
  </si>
  <si>
    <t>Terribles acontecimientos de mi pasado reaparecen obsesivamente en mis pensamientos y sueños.</t>
  </si>
  <si>
    <t>Sé que he gastado más dinero en droga del que debería.</t>
  </si>
  <si>
    <t>A menudo, y antes de darme cuenta, me pongo a gritar enfadado a mis amigos y familiares.</t>
  </si>
  <si>
    <t>Me preocupa que mi cuerpo se desgaste rápidamente.</t>
  </si>
  <si>
    <t>Está bien burlar la ley si es poco probable que te atrapen.</t>
  </si>
  <si>
    <t>Creo que hay una conspiración contra mí.</t>
  </si>
  <si>
    <t>Soy una persona solitaria y no me molesta.</t>
  </si>
  <si>
    <t>Todavía me aterrorizo cuando pienso en una experiencia traumática que tuve hace años.</t>
  </si>
  <si>
    <t>Últimamente me he sentido muy culpable porque ya no soy capaz de hacer nada bien.</t>
  </si>
  <si>
    <t>Los castigos nunca me impidieron hacer lo que quería.</t>
  </si>
  <si>
    <t>Pocas veces creo lo que la gente me dice.</t>
  </si>
  <si>
    <t>Soy una persona muy sociable y extrovertida.</t>
  </si>
  <si>
    <t>Me entusiasmo con casi todo lo que hago.</t>
  </si>
  <si>
    <t>Estoy confundido sobre quién soy.</t>
  </si>
  <si>
    <t>Odio pensar en el maltrato que sufrí en la infancia.</t>
  </si>
  <si>
    <t>Nunca infringiría la ley, aunque pudiera salir impune.</t>
  </si>
  <si>
    <t>Algunos miembros de mi familia dicen que soy egoísta y que sólo pienso en mí.</t>
  </si>
  <si>
    <t>En el último año he cruzado el Atlántico en avión 30 veces.</t>
  </si>
  <si>
    <t>Beber alcohol me ayuda cuando me siento deprimido.</t>
  </si>
  <si>
    <t>Preferiría seguir a alguien antes que ser yo el líder.</t>
  </si>
  <si>
    <t>A menudo me vienen ideas a la mente mucho más rápido de lo puedo expresarlas.</t>
  </si>
  <si>
    <t>A menudo me siento tan mal que quiero hacerme daño de verdad.</t>
  </si>
  <si>
    <t>Algunas personas dicen que soy extraño o raro.</t>
  </si>
  <si>
    <t>A veces encuentro consuelo en mi sufrimiento.</t>
  </si>
  <si>
    <t>A menudo creo que me han tratado injustamente.</t>
  </si>
  <si>
    <t>Muestro mi enfado rápidamente a las personas que no están de acuerdo conmigo.</t>
  </si>
  <si>
    <t>Casi siempre me siento culpable sin ninguna razón aparente.</t>
  </si>
  <si>
    <t>Desde hace algún tiempo me siento triste y deprimido y parece que no consigo animarme.</t>
  </si>
  <si>
    <t>Sé cómo seducir a la gente.</t>
  </si>
  <si>
    <t>Siempre he tenido que estar atento a la gente que intenta engañarme.</t>
  </si>
  <si>
    <t>Siempre estoy dispuesto a aceptar lo que los demás les gustaría hacer.</t>
  </si>
  <si>
    <t>Afronto todos los retos de la vida con una actitud valiente y enérgica.</t>
  </si>
  <si>
    <t>Nunca siento que tenga algo interesante que aportar a una conversación.</t>
  </si>
  <si>
    <t>Si un medicamento no me hace efecto, es probable que lo tome con más frecuencia o aumente la dosis.</t>
  </si>
  <si>
    <t>En muchos periodos de mi vida he estado tan animado y he consumido tanta energía que luego me he sentido muy bajo de ánimo.</t>
  </si>
  <si>
    <t>A menudo me siento muy infeliz conmigo mismo.</t>
  </si>
  <si>
    <t>No me gusta cambiar mi rutina.</t>
  </si>
  <si>
    <t>No necesito tener amigos íntimos como tienen los demás.</t>
  </si>
  <si>
    <t>A veces me ha reconfortado herirme físicamente.</t>
  </si>
  <si>
    <t>Mucha gente ha estado espiando mi vida privada durante años.</t>
  </si>
  <si>
    <t>Cuando quiero, se me da bastante bien engañar a la gente.</t>
  </si>
  <si>
    <t>Incluso cuando las cosas van bien, creo que pronto irán mal.</t>
  </si>
  <si>
    <t>Se me da muy bien animar y motivar a los demás.</t>
  </si>
  <si>
    <t>Estoy dispuesto a pasar hambre para estar aún más delgado de lo que estoy.</t>
  </si>
  <si>
    <t>A menudo estoy irritable y de mal humor.</t>
  </si>
  <si>
    <t>Siempre intento acabar mi trabajo antes de dedicar tiempo a actividades de ocio.</t>
  </si>
  <si>
    <t>Solo las personas excepcionales pueden comprender mis capacidades.</t>
  </si>
  <si>
    <t>Realmente no entiendo los sentimientos humanos como los entienden los demás.</t>
  </si>
  <si>
    <t>Demasiadas normas impiden que haga lo que quiero.</t>
  </si>
  <si>
    <t>A veces siento que merezco ser infeliz.</t>
  </si>
  <si>
    <t>He estado abatido y triste gran parte de mi vida.</t>
  </si>
  <si>
    <t>Tiendo a estar de acuerdo con las opiniones de los demás.</t>
  </si>
  <si>
    <t>Evito la mayoría de las situaciones sociales porque creo que la gente me rechazará.</t>
  </si>
  <si>
    <t>ESCALA DE VALIDEZ</t>
  </si>
  <si>
    <t>Escalas de Validez</t>
  </si>
  <si>
    <t>PD</t>
  </si>
  <si>
    <t>TB</t>
  </si>
  <si>
    <t xml:space="preserve">INTEPRETACION </t>
  </si>
  <si>
    <t>Invalidez</t>
  </si>
  <si>
    <t>W</t>
  </si>
  <si>
    <t>Inconsistencia</t>
  </si>
  <si>
    <t>X</t>
  </si>
  <si>
    <t>Sinceridad</t>
  </si>
  <si>
    <t>Y</t>
  </si>
  <si>
    <t>Deseabilidad Social</t>
  </si>
  <si>
    <t>Z</t>
  </si>
  <si>
    <t>Devaluación</t>
  </si>
  <si>
    <t xml:space="preserve">Patrones de Personalidad </t>
  </si>
  <si>
    <t xml:space="preserve">Esquizoide  </t>
  </si>
  <si>
    <t>2A</t>
  </si>
  <si>
    <t>Evitativo</t>
  </si>
  <si>
    <t>2B</t>
  </si>
  <si>
    <t xml:space="preserve">Melancólico </t>
  </si>
  <si>
    <t>Dependiente</t>
  </si>
  <si>
    <t>4A</t>
  </si>
  <si>
    <t>Histriónico</t>
  </si>
  <si>
    <t>4B</t>
  </si>
  <si>
    <t>Tempestuoso</t>
  </si>
  <si>
    <t>Narcisista</t>
  </si>
  <si>
    <t>6A</t>
  </si>
  <si>
    <t>Antisocial</t>
  </si>
  <si>
    <t>6B</t>
  </si>
  <si>
    <t xml:space="preserve">Sádico </t>
  </si>
  <si>
    <t>Compulsivo</t>
  </si>
  <si>
    <t>8A</t>
  </si>
  <si>
    <t>Negativista</t>
  </si>
  <si>
    <t>8B</t>
  </si>
  <si>
    <t>Masoquista</t>
  </si>
  <si>
    <t>Patologías Graves Personalidad</t>
  </si>
  <si>
    <t>S</t>
  </si>
  <si>
    <t xml:space="preserve">Esquizotípico </t>
  </si>
  <si>
    <t>C</t>
  </si>
  <si>
    <t xml:space="preserve">Límite    </t>
  </si>
  <si>
    <t>P</t>
  </si>
  <si>
    <t>Paranoide</t>
  </si>
  <si>
    <t>Sindromes Clínicos</t>
  </si>
  <si>
    <t>A</t>
  </si>
  <si>
    <t>Ansiedad Generalizada</t>
  </si>
  <si>
    <t>H</t>
  </si>
  <si>
    <t xml:space="preserve">Síntomas Somáticos </t>
  </si>
  <si>
    <t>N</t>
  </si>
  <si>
    <t>Espectro Bípolar</t>
  </si>
  <si>
    <t>D</t>
  </si>
  <si>
    <t>Depresión Persistente</t>
  </si>
  <si>
    <t>B</t>
  </si>
  <si>
    <t>Consumo de Alcohol</t>
  </si>
  <si>
    <t>T</t>
  </si>
  <si>
    <t>Consumo de Drogas</t>
  </si>
  <si>
    <t>R</t>
  </si>
  <si>
    <t>Estrés Postraumático</t>
  </si>
  <si>
    <t>SS</t>
  </si>
  <si>
    <t>Espectro Esquizofrénico</t>
  </si>
  <si>
    <t>CC</t>
  </si>
  <si>
    <t>Depresión Mayor</t>
  </si>
  <si>
    <t>PP</t>
  </si>
  <si>
    <t>Delirante</t>
  </si>
  <si>
    <t>Interpretacion</t>
  </si>
  <si>
    <t>Interpersonalmente Desvinculado</t>
  </si>
  <si>
    <t>Contenido Escaso</t>
  </si>
  <si>
    <t>Temperalmente apático</t>
  </si>
  <si>
    <t>2A.1</t>
  </si>
  <si>
    <t>Interpersonalmente Aversivo</t>
  </si>
  <si>
    <t>2A.2</t>
  </si>
  <si>
    <t>Autoimagen Alienada</t>
  </si>
  <si>
    <t>2A.3</t>
  </si>
  <si>
    <t>Contenido Vejatorio</t>
  </si>
  <si>
    <t>2B.1</t>
  </si>
  <si>
    <t>Cognitivamente Fatalista</t>
  </si>
  <si>
    <t>2B.2</t>
  </si>
  <si>
    <t>Autoimagen Inutil</t>
  </si>
  <si>
    <t>2B.3</t>
  </si>
  <si>
    <t>Temperalmente Afligido</t>
  </si>
  <si>
    <t>Expresivamente Pueril</t>
  </si>
  <si>
    <t>Interpersonalmente Sumiso</t>
  </si>
  <si>
    <t>Autoimagen Inepta</t>
  </si>
  <si>
    <t>4A.1</t>
  </si>
  <si>
    <t>Expresivamente Dramatico</t>
  </si>
  <si>
    <t>4A.2</t>
  </si>
  <si>
    <t>Interpersonalmente buscador de Atención</t>
  </si>
  <si>
    <t>4A.3</t>
  </si>
  <si>
    <t xml:space="preserve">Temperamentalmente Inconstante </t>
  </si>
  <si>
    <t>4B.1</t>
  </si>
  <si>
    <t>Expresivamente Impetuoso</t>
  </si>
  <si>
    <t>4B.2</t>
  </si>
  <si>
    <t>Interpersonamente Eufórico</t>
  </si>
  <si>
    <t>4B.3</t>
  </si>
  <si>
    <t>Autoimagen Sobreestimada</t>
  </si>
  <si>
    <t>Interpersonalmente Explotador</t>
  </si>
  <si>
    <t>Cognitivamente Expansivo</t>
  </si>
  <si>
    <t>Autoimagen Admirable</t>
  </si>
  <si>
    <t>6A.1</t>
  </si>
  <si>
    <t>Intepersonalmente Responsable</t>
  </si>
  <si>
    <t>6A.2</t>
  </si>
  <si>
    <t>Autoimagen Autónoma</t>
  </si>
  <si>
    <t>6A.3</t>
  </si>
  <si>
    <t>Dinámicas de Irreflexión</t>
  </si>
  <si>
    <t>6B.1</t>
  </si>
  <si>
    <t>Expresivamente Precipitado</t>
  </si>
  <si>
    <t>6B.2</t>
  </si>
  <si>
    <t>Interpersonalmente Desagradable</t>
  </si>
  <si>
    <t>6B.3</t>
  </si>
  <si>
    <t>Arquitectura Eruptiva</t>
  </si>
  <si>
    <t>Expresivamente Disciplinado</t>
  </si>
  <si>
    <t>Cognitivamente Constreñido</t>
  </si>
  <si>
    <t>Autoimagen Escrupulosa</t>
  </si>
  <si>
    <t>8A.1</t>
  </si>
  <si>
    <t>Expresivamente Resentido</t>
  </si>
  <si>
    <t>8A.2</t>
  </si>
  <si>
    <t>Autoimagen Descontenta</t>
  </si>
  <si>
    <t>8A.3</t>
  </si>
  <si>
    <t>Temperalmente Irritable</t>
  </si>
  <si>
    <t>8B.1</t>
  </si>
  <si>
    <t>Autoimagen Desmerecedora</t>
  </si>
  <si>
    <t>8B.2</t>
  </si>
  <si>
    <t>Arquitectura Invertida</t>
  </si>
  <si>
    <t>8B.3</t>
  </si>
  <si>
    <t>Temperamentalmente Disfórico</t>
  </si>
  <si>
    <t>S1</t>
  </si>
  <si>
    <t>Cognitivamente Circunstancial</t>
  </si>
  <si>
    <t>S2</t>
  </si>
  <si>
    <t>Autoimagen Disociada</t>
  </si>
  <si>
    <t>S3</t>
  </si>
  <si>
    <t>Contenido Caótico</t>
  </si>
  <si>
    <t>C1</t>
  </si>
  <si>
    <t>Autoimagen Inestable</t>
  </si>
  <si>
    <t>C2</t>
  </si>
  <si>
    <t>Arquitectura Disgregada</t>
  </si>
  <si>
    <t>C3</t>
  </si>
  <si>
    <t>Temperalmente Labil</t>
  </si>
  <si>
    <t>P1</t>
  </si>
  <si>
    <t>Expresivamente Defensivo</t>
  </si>
  <si>
    <t>P2</t>
  </si>
  <si>
    <t>Cognitivamente Desconfiado</t>
  </si>
  <si>
    <t>P3</t>
  </si>
  <si>
    <t>Dinámicas de Proyección</t>
  </si>
  <si>
    <t>Respuestas Siginificativas</t>
  </si>
  <si>
    <t>%</t>
  </si>
  <si>
    <t>TDAH</t>
  </si>
  <si>
    <t>Espectro Autista</t>
  </si>
  <si>
    <t>Maltrato Infantil</t>
  </si>
  <si>
    <t>Trastornos de la conducta alimentaria</t>
  </si>
  <si>
    <t>Falta de Control Emocional</t>
  </si>
  <si>
    <t>Explosiones de Ira</t>
  </si>
  <si>
    <t>Preocupación por su salud</t>
  </si>
  <si>
    <t>Alienación Interpersonal</t>
  </si>
  <si>
    <t>Abuso de Medicación</t>
  </si>
  <si>
    <t>Potencial Conducta autodestructiva</t>
  </si>
  <si>
    <t>Conductas/Tendencias Autolesivas</t>
  </si>
  <si>
    <t>Lesión Cerebral</t>
  </si>
  <si>
    <t>Tendencias Vengativas</t>
  </si>
  <si>
    <t>TASA BASE</t>
  </si>
  <si>
    <t>Punt. Directa</t>
  </si>
  <si>
    <t>-</t>
  </si>
  <si>
    <t>TASA BASE AJUSTADA</t>
  </si>
  <si>
    <t>Percentil</t>
  </si>
  <si>
    <t/>
  </si>
  <si>
    <t>Pc</t>
  </si>
  <si>
    <t>S.1</t>
  </si>
  <si>
    <t>S.2</t>
  </si>
  <si>
    <t>S.3</t>
  </si>
  <si>
    <t>C.1</t>
  </si>
  <si>
    <t>C.2</t>
  </si>
  <si>
    <t>C.3</t>
  </si>
  <si>
    <t>P.1</t>
  </si>
  <si>
    <t>P.2</t>
  </si>
  <si>
    <t>P.3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</si>
</sst>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0">
    <font>
      <sz val="11"/>
      <color theme="1"/>
      <name val="Calibri"/>
      <charset val="134"/>
      <scheme val="minor"/>
    </font>
    <font>
      <sz val="9"/>
      <color theme="1"/>
      <name val="Times New Roman"/>
      <charset val="134"/>
    </font>
    <font>
      <b/>
      <sz val="12"/>
      <color theme="1"/>
      <name val="Calibri"/>
      <charset val="134"/>
      <scheme val="minor"/>
    </font>
    <font>
      <sz val="11"/>
      <color theme="0"/>
      <name val="Calibri"/>
      <charset val="134"/>
      <scheme val="minor"/>
    </font>
    <font>
      <sz val="10"/>
      <color theme="0"/>
      <name val="Times New Roman"/>
      <charset val="134"/>
    </font>
    <font>
      <sz val="11"/>
      <color theme="0"/>
      <name val="Times New Roman"/>
      <charset val="134"/>
    </font>
    <font>
      <sz val="10"/>
      <color theme="1"/>
      <name val="Times New Roman"/>
      <charset val="134"/>
    </font>
    <font>
      <sz val="10"/>
      <name val="Times New Roman"/>
      <charset val="134"/>
    </font>
    <font>
      <sz val="11"/>
      <name val="Times New Roman"/>
      <charset val="134"/>
    </font>
    <font>
      <sz val="11"/>
      <color theme="1"/>
      <name val="Times New Roman"/>
      <charset val="134"/>
    </font>
    <font>
      <b/>
      <sz val="11"/>
      <color theme="1"/>
      <name val="Times New Roman"/>
      <charset val="134"/>
    </font>
    <font>
      <sz val="14"/>
      <color theme="0"/>
      <name val="Times New Roman"/>
      <charset val="134"/>
    </font>
    <font>
      <sz val="14"/>
      <color theme="1"/>
      <name val="Times New Roman"/>
      <charset val="134"/>
    </font>
    <font>
      <sz val="14"/>
      <name val="Times New Roman"/>
      <charset val="134"/>
    </font>
    <font>
      <b/>
      <sz val="11"/>
      <color theme="0"/>
      <name val="Times New Roman"/>
      <charset val="134"/>
    </font>
    <font>
      <sz val="11"/>
      <name val="Calibri"/>
      <charset val="134"/>
      <scheme val="minor"/>
    </font>
    <font>
      <b/>
      <sz val="11"/>
      <name val="Times New Roman"/>
      <charset val="134"/>
    </font>
    <font>
      <sz val="11"/>
      <color theme="1"/>
      <name val="Calibri"/>
      <charset val="134"/>
      <scheme val="minor"/>
    </font>
    <font>
      <sz val="10"/>
      <name val="Arial"/>
      <charset val="134"/>
    </font>
    <font>
      <b/>
      <u/>
      <sz val="24"/>
      <name val="Times New Roman"/>
      <charset val="134"/>
    </font>
  </fonts>
  <fills count="9">
    <fill>
      <patternFill patternType="none"/>
    </fill>
    <fill>
      <patternFill patternType="gray125"/>
    </fill>
    <fill>
      <patternFill patternType="solid">
        <fgColor theme="3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9" fontId="17" fillId="0" borderId="0" applyFont="0" applyFill="0" applyBorder="0" applyAlignment="0" applyProtection="0"/>
    <xf numFmtId="0" fontId="18" fillId="0" borderId="0"/>
  </cellStyleXfs>
  <cellXfs count="10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4" fillId="2" borderId="4" xfId="2" applyFont="1" applyFill="1" applyBorder="1" applyAlignment="1" applyProtection="1">
      <alignment horizontal="center" vertical="center"/>
      <protection hidden="1"/>
    </xf>
    <xf numFmtId="0" fontId="5" fillId="2" borderId="1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7" fillId="0" borderId="5" xfId="2" applyFont="1" applyBorder="1" applyAlignment="1" applyProtection="1">
      <alignment vertic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9" fontId="6" fillId="0" borderId="1" xfId="1" applyFont="1" applyBorder="1" applyAlignment="1" applyProtection="1">
      <alignment horizontal="center" vertical="center"/>
      <protection hidden="1"/>
    </xf>
    <xf numFmtId="0" fontId="7" fillId="4" borderId="5" xfId="2" applyFont="1" applyFill="1" applyBorder="1" applyAlignment="1" applyProtection="1">
      <alignment vertical="center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9" fontId="6" fillId="4" borderId="1" xfId="1" applyFont="1" applyFill="1" applyBorder="1" applyAlignment="1" applyProtection="1">
      <alignment horizontal="center" vertical="center"/>
      <protection hidden="1"/>
    </xf>
    <xf numFmtId="0" fontId="7" fillId="3" borderId="5" xfId="2" applyFont="1" applyFill="1" applyBorder="1" applyAlignment="1" applyProtection="1">
      <alignment vertical="center"/>
      <protection hidden="1"/>
    </xf>
    <xf numFmtId="0" fontId="8" fillId="3" borderId="0" xfId="0" applyFont="1" applyFill="1" applyProtection="1">
      <protection hidden="1"/>
    </xf>
    <xf numFmtId="0" fontId="9" fillId="0" borderId="0" xfId="0" applyFont="1" applyProtection="1">
      <protection hidden="1"/>
    </xf>
    <xf numFmtId="0" fontId="4" fillId="5" borderId="4" xfId="2" applyFont="1" applyFill="1" applyBorder="1" applyAlignment="1" applyProtection="1">
      <alignment horizontal="center" vertical="center"/>
      <protection hidden="1"/>
    </xf>
    <xf numFmtId="0" fontId="5" fillId="5" borderId="1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left" vertical="center"/>
      <protection hidden="1"/>
    </xf>
    <xf numFmtId="0" fontId="4" fillId="5" borderId="5" xfId="2" applyFont="1" applyFill="1" applyBorder="1" applyAlignment="1" applyProtection="1">
      <alignment vertical="center"/>
      <protection hidden="1"/>
    </xf>
    <xf numFmtId="0" fontId="5" fillId="5" borderId="0" xfId="0" applyFont="1" applyFill="1" applyProtection="1"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7" fillId="3" borderId="1" xfId="0" applyFont="1" applyFill="1" applyBorder="1" applyAlignment="1" applyProtection="1">
      <alignment horizontal="left" vertical="center"/>
      <protection hidden="1"/>
    </xf>
    <xf numFmtId="0" fontId="7" fillId="3" borderId="1" xfId="0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4" fillId="5" borderId="1" xfId="2" applyFont="1" applyFill="1" applyBorder="1" applyAlignment="1" applyProtection="1">
      <alignment vertical="center"/>
      <protection hidden="1"/>
    </xf>
    <xf numFmtId="0" fontId="5" fillId="5" borderId="1" xfId="0" applyFont="1" applyFill="1" applyBorder="1" applyProtection="1">
      <protection hidden="1"/>
    </xf>
    <xf numFmtId="0" fontId="7" fillId="3" borderId="6" xfId="2" applyFont="1" applyFill="1" applyBorder="1" applyAlignment="1" applyProtection="1">
      <alignment vertical="center"/>
      <protection hidden="1"/>
    </xf>
    <xf numFmtId="0" fontId="7" fillId="3" borderId="1" xfId="2" applyFont="1" applyFill="1" applyBorder="1" applyAlignment="1" applyProtection="1">
      <alignment vertical="center"/>
      <protection hidden="1"/>
    </xf>
    <xf numFmtId="0" fontId="7" fillId="3" borderId="7" xfId="2" applyFont="1" applyFill="1" applyBorder="1" applyAlignment="1" applyProtection="1">
      <alignment vertical="center"/>
      <protection hidden="1"/>
    </xf>
    <xf numFmtId="0" fontId="4" fillId="5" borderId="8" xfId="0" applyFont="1" applyFill="1" applyBorder="1" applyAlignment="1" applyProtection="1">
      <alignment horizontal="left" vertical="center"/>
      <protection hidden="1"/>
    </xf>
    <xf numFmtId="0" fontId="9" fillId="5" borderId="1" xfId="0" applyFont="1" applyFill="1" applyBorder="1" applyProtection="1">
      <protection hidden="1"/>
    </xf>
    <xf numFmtId="0" fontId="7" fillId="3" borderId="8" xfId="0" applyFont="1" applyFill="1" applyBorder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9" fillId="0" borderId="0" xfId="0" applyFont="1" applyAlignment="1" applyProtection="1">
      <alignment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7" fillId="0" borderId="0" xfId="2" applyFont="1" applyAlignment="1" applyProtection="1">
      <alignment wrapText="1"/>
      <protection hidden="1"/>
    </xf>
    <xf numFmtId="0" fontId="5" fillId="2" borderId="0" xfId="0" applyFont="1" applyFill="1" applyAlignment="1" applyProtection="1">
      <alignment horizontal="center" vertical="center"/>
      <protection hidden="1"/>
    </xf>
    <xf numFmtId="0" fontId="5" fillId="2" borderId="9" xfId="0" applyFont="1" applyFill="1" applyBorder="1" applyAlignment="1" applyProtection="1">
      <alignment horizontal="center" vertical="center"/>
      <protection hidden="1"/>
    </xf>
    <xf numFmtId="0" fontId="9" fillId="2" borderId="0" xfId="0" applyFont="1" applyFill="1" applyProtection="1">
      <protection hidden="1"/>
    </xf>
    <xf numFmtId="0" fontId="9" fillId="0" borderId="1" xfId="0" applyFont="1" applyBorder="1" applyAlignment="1" applyProtection="1">
      <alignment horizontal="left" vertical="center"/>
      <protection hidden="1"/>
    </xf>
    <xf numFmtId="0" fontId="8" fillId="0" borderId="5" xfId="2" applyFont="1" applyBorder="1" applyAlignment="1" applyProtection="1">
      <alignment vertical="center"/>
      <protection hidden="1"/>
    </xf>
    <xf numFmtId="0" fontId="9" fillId="0" borderId="10" xfId="0" applyFont="1" applyBorder="1" applyProtection="1">
      <protection hidden="1"/>
    </xf>
    <xf numFmtId="0" fontId="12" fillId="0" borderId="10" xfId="0" applyFont="1" applyBorder="1" applyAlignment="1" applyProtection="1">
      <alignment horizontal="center" vertical="center"/>
      <protection hidden="1"/>
    </xf>
    <xf numFmtId="0" fontId="12" fillId="0" borderId="11" xfId="0" applyFont="1" applyBorder="1" applyAlignment="1" applyProtection="1">
      <alignment horizontal="center" vertical="center"/>
      <protection hidden="1"/>
    </xf>
    <xf numFmtId="0" fontId="9" fillId="0" borderId="1" xfId="0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12" fillId="0" borderId="12" xfId="0" applyFont="1" applyBorder="1" applyAlignment="1" applyProtection="1">
      <alignment horizontal="center" vertical="center"/>
      <protection hidden="1"/>
    </xf>
    <xf numFmtId="0" fontId="12" fillId="0" borderId="13" xfId="0" applyFont="1" applyBorder="1" applyAlignment="1" applyProtection="1">
      <alignment horizontal="center" vertical="center"/>
      <protection hidden="1"/>
    </xf>
    <xf numFmtId="0" fontId="13" fillId="0" borderId="12" xfId="0" applyFont="1" applyBorder="1" applyAlignment="1" applyProtection="1">
      <alignment horizontal="center" vertical="center"/>
      <protection hidden="1"/>
    </xf>
    <xf numFmtId="0" fontId="13" fillId="0" borderId="14" xfId="0" applyFont="1" applyBorder="1" applyAlignment="1" applyProtection="1">
      <alignment horizontal="center" vertical="center"/>
      <protection hidden="1"/>
    </xf>
    <xf numFmtId="0" fontId="12" fillId="0" borderId="14" xfId="0" applyFont="1" applyBorder="1" applyAlignment="1" applyProtection="1">
      <alignment horizontal="center" vertical="center"/>
      <protection hidden="1"/>
    </xf>
    <xf numFmtId="1" fontId="12" fillId="0" borderId="10" xfId="0" applyNumberFormat="1" applyFont="1" applyBorder="1" applyAlignment="1" applyProtection="1">
      <alignment horizontal="center" vertical="center"/>
      <protection hidden="1"/>
    </xf>
    <xf numFmtId="0" fontId="12" fillId="3" borderId="10" xfId="0" applyFont="1" applyFill="1" applyBorder="1" applyAlignment="1" applyProtection="1">
      <alignment horizontal="center" vertical="center"/>
      <protection hidden="1"/>
    </xf>
    <xf numFmtId="0" fontId="12" fillId="0" borderId="5" xfId="0" applyFont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center" vertical="center"/>
      <protection hidden="1"/>
    </xf>
    <xf numFmtId="0" fontId="12" fillId="3" borderId="12" xfId="0" applyFont="1" applyFill="1" applyBorder="1" applyAlignment="1" applyProtection="1">
      <alignment horizontal="center" vertical="center"/>
      <protection hidden="1"/>
    </xf>
    <xf numFmtId="0" fontId="12" fillId="3" borderId="14" xfId="0" applyFont="1" applyFill="1" applyBorder="1" applyAlignment="1" applyProtection="1">
      <alignment horizontal="center" vertical="center"/>
      <protection hidden="1"/>
    </xf>
    <xf numFmtId="0" fontId="5" fillId="2" borderId="1" xfId="0" applyFont="1" applyFill="1" applyBorder="1" applyAlignment="1" applyProtection="1">
      <alignment horizontal="left" vertical="center"/>
      <protection hidden="1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8" fillId="0" borderId="1" xfId="2" applyFont="1" applyBorder="1" applyAlignment="1" applyProtection="1">
      <alignment horizontal="left" vertical="center"/>
      <protection hidden="1"/>
    </xf>
    <xf numFmtId="0" fontId="8" fillId="0" borderId="0" xfId="0" applyFont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Protection="1">
      <protection locked="0"/>
    </xf>
    <xf numFmtId="1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1" fontId="3" fillId="0" borderId="0" xfId="0" applyNumberFormat="1" applyFont="1" applyProtection="1">
      <protection hidden="1"/>
    </xf>
    <xf numFmtId="0" fontId="8" fillId="7" borderId="9" xfId="0" applyFont="1" applyFill="1" applyBorder="1" applyAlignment="1" applyProtection="1">
      <alignment horizontal="center" vertical="center"/>
      <protection hidden="1"/>
    </xf>
    <xf numFmtId="0" fontId="8" fillId="8" borderId="9" xfId="0" applyFont="1" applyFill="1" applyBorder="1" applyAlignment="1" applyProtection="1">
      <alignment horizontal="center" vertical="center"/>
      <protection hidden="1"/>
    </xf>
    <xf numFmtId="0" fontId="8" fillId="0" borderId="16" xfId="0" applyFont="1" applyBorder="1" applyAlignment="1" applyProtection="1">
      <alignment horizontal="center" vertical="center"/>
      <protection hidden="1"/>
    </xf>
    <xf numFmtId="0" fontId="8" fillId="0" borderId="17" xfId="0" applyFont="1" applyBorder="1" applyAlignment="1" applyProtection="1">
      <alignment vertical="center" wrapText="1"/>
      <protection hidden="1"/>
    </xf>
    <xf numFmtId="0" fontId="15" fillId="0" borderId="18" xfId="0" applyFont="1" applyBorder="1" applyProtection="1">
      <protection locked="0"/>
    </xf>
    <xf numFmtId="0" fontId="15" fillId="0" borderId="19" xfId="0" applyFont="1" applyBorder="1" applyProtection="1">
      <protection locked="0"/>
    </xf>
    <xf numFmtId="0" fontId="8" fillId="0" borderId="20" xfId="0" applyFont="1" applyBorder="1" applyAlignment="1" applyProtection="1">
      <alignment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1" fontId="3" fillId="0" borderId="0" xfId="0" applyNumberFormat="1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quotePrefix="1" applyAlignment="1">
      <alignment horizontal="center"/>
    </xf>
    <xf numFmtId="0" fontId="0" fillId="0" borderId="2" xfId="0" quotePrefix="1" applyBorder="1" applyAlignment="1">
      <alignment horizontal="center"/>
    </xf>
    <xf numFmtId="0" fontId="16" fillId="2" borderId="4" xfId="0" applyFont="1" applyFill="1" applyBorder="1" applyAlignment="1" applyProtection="1">
      <alignment horizontal="center" vertical="center" wrapText="1"/>
      <protection hidden="1"/>
    </xf>
    <xf numFmtId="0" fontId="8" fillId="6" borderId="9" xfId="0" applyFont="1" applyFill="1" applyBorder="1" applyAlignment="1" applyProtection="1">
      <alignment horizontal="center"/>
      <protection hidden="1"/>
    </xf>
    <xf numFmtId="0" fontId="15" fillId="6" borderId="15" xfId="0" applyFont="1" applyFill="1" applyBorder="1" applyAlignment="1" applyProtection="1">
      <alignment horizontal="center"/>
      <protection hidden="1"/>
    </xf>
    <xf numFmtId="0" fontId="3" fillId="0" borderId="21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11" fillId="2" borderId="0" xfId="2" applyFont="1" applyFill="1" applyAlignment="1" applyProtection="1">
      <alignment horizontal="left" vertical="center"/>
      <protection hidden="1"/>
    </xf>
    <xf numFmtId="0" fontId="11" fillId="2" borderId="3" xfId="2" applyFont="1" applyFill="1" applyBorder="1" applyAlignment="1" applyProtection="1">
      <alignment horizontal="left" vertical="center"/>
      <protection hidden="1"/>
    </xf>
    <xf numFmtId="0" fontId="11" fillId="2" borderId="0" xfId="2" applyFont="1" applyFill="1" applyAlignment="1" applyProtection="1">
      <alignment horizontal="center" vertical="center"/>
      <protection hidden="1"/>
    </xf>
    <xf numFmtId="0" fontId="4" fillId="5" borderId="4" xfId="2" applyFont="1" applyFill="1" applyBorder="1" applyAlignment="1" applyProtection="1">
      <alignment horizontal="center" vertical="center"/>
      <protection hidden="1"/>
    </xf>
    <xf numFmtId="0" fontId="4" fillId="2" borderId="4" xfId="2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3">
    <cellStyle name="Normal" xfId="0" builtinId="0"/>
    <cellStyle name="Normal 2" xfId="2" xr:uid="{00000000-0005-0000-0000-000031000000}"/>
    <cellStyle name="Porcentaje" xfId="1" builtinId="5"/>
  </cellStyles>
  <dxfs count="0"/>
  <tableStyles count="1" defaultTableStyle="TableStyleMedium2" defaultPivotStyle="PivotStyleLight16">
    <tableStyle name="Invisible" pivot="0" table="0" count="0" xr9:uid="{86139509-CFFE-4640-AAB7-29621D21F42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CORRECCION!$B$18:$B$29</c:f>
              <c:strCache>
                <c:ptCount val="12"/>
                <c:pt idx="0">
                  <c:v>Esquizoide  </c:v>
                </c:pt>
                <c:pt idx="1">
                  <c:v>Evitativo</c:v>
                </c:pt>
                <c:pt idx="2">
                  <c:v>Melancólico </c:v>
                </c:pt>
                <c:pt idx="3">
                  <c:v>Dependiente</c:v>
                </c:pt>
                <c:pt idx="4">
                  <c:v>Histriónico</c:v>
                </c:pt>
                <c:pt idx="5">
                  <c:v>Tempestuoso</c:v>
                </c:pt>
                <c:pt idx="6">
                  <c:v>Narcisista</c:v>
                </c:pt>
                <c:pt idx="7">
                  <c:v>Antisocial</c:v>
                </c:pt>
                <c:pt idx="8">
                  <c:v>Sádico </c:v>
                </c:pt>
                <c:pt idx="9">
                  <c:v>Compulsivo</c:v>
                </c:pt>
                <c:pt idx="10">
                  <c:v>Negativista</c:v>
                </c:pt>
                <c:pt idx="11">
                  <c:v>Masoquista</c:v>
                </c:pt>
              </c:strCache>
            </c:strRef>
          </c:cat>
          <c:val>
            <c:numRef>
              <c:f>CORRECCION!$D$18:$D$29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1-4C59-A672-1C887C69A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188192"/>
        <c:axId val="333190688"/>
      </c:barChart>
      <c:catAx>
        <c:axId val="33318819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33190688"/>
        <c:crosses val="autoZero"/>
        <c:auto val="1"/>
        <c:lblAlgn val="ctr"/>
        <c:lblOffset val="100"/>
        <c:noMultiLvlLbl val="0"/>
      </c:catAx>
      <c:valAx>
        <c:axId val="333190688"/>
        <c:scaling>
          <c:orientation val="minMax"/>
        </c:scaling>
        <c:delete val="1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3318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b01ada01-53f4-43a0-a3ec-0fe9204d5e3f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ES"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CORRECCION!$B$11:$B$15</c:f>
              <c:strCache>
                <c:ptCount val="5"/>
                <c:pt idx="0">
                  <c:v>Invalidez</c:v>
                </c:pt>
                <c:pt idx="1">
                  <c:v>Inconsistencia</c:v>
                </c:pt>
                <c:pt idx="2">
                  <c:v>Sinceridad</c:v>
                </c:pt>
                <c:pt idx="3">
                  <c:v>Deseabilidad Social</c:v>
                </c:pt>
                <c:pt idx="4">
                  <c:v>Devaluación</c:v>
                </c:pt>
              </c:strCache>
            </c:strRef>
          </c:cat>
          <c:val>
            <c:numRef>
              <c:f>CORRECCION!$D$11:$D$15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65-4B34-8483-E4D3420F0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4306432"/>
        <c:axId val="1494307264"/>
      </c:barChart>
      <c:catAx>
        <c:axId val="14943064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94307264"/>
        <c:crosses val="autoZero"/>
        <c:auto val="1"/>
        <c:lblAlgn val="ctr"/>
        <c:lblOffset val="100"/>
        <c:noMultiLvlLbl val="0"/>
      </c:catAx>
      <c:valAx>
        <c:axId val="1494307264"/>
        <c:scaling>
          <c:orientation val="minMax"/>
        </c:scaling>
        <c:delete val="1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49430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66832e63-2753-4801-9e62-585682ded27b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ES"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CORRECCION!$B$31:$B$33</c:f>
              <c:strCache>
                <c:ptCount val="3"/>
                <c:pt idx="0">
                  <c:v>Esquizotípico </c:v>
                </c:pt>
                <c:pt idx="1">
                  <c:v>Límite    </c:v>
                </c:pt>
                <c:pt idx="2">
                  <c:v>Paranoide</c:v>
                </c:pt>
              </c:strCache>
            </c:strRef>
          </c:cat>
          <c:val>
            <c:numRef>
              <c:f>CORRECCION!$D$31:$D$33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A-4AE1-883D-7085F7BFB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737664"/>
        <c:axId val="458738080"/>
      </c:barChart>
      <c:catAx>
        <c:axId val="458737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8738080"/>
        <c:crosses val="autoZero"/>
        <c:auto val="1"/>
        <c:lblAlgn val="ctr"/>
        <c:lblOffset val="100"/>
        <c:noMultiLvlLbl val="0"/>
      </c:catAx>
      <c:valAx>
        <c:axId val="458738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5873766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6daf73f4-eefc-4200-9235-7025cc37fbf2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ES"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CORRECCION!$B$36:$B$45</c:f>
              <c:strCache>
                <c:ptCount val="10"/>
                <c:pt idx="0">
                  <c:v>Ansiedad Generalizada</c:v>
                </c:pt>
                <c:pt idx="1">
                  <c:v>Síntomas Somáticos </c:v>
                </c:pt>
                <c:pt idx="2">
                  <c:v>Espectro Bípolar</c:v>
                </c:pt>
                <c:pt idx="3">
                  <c:v>Depresión Persistente</c:v>
                </c:pt>
                <c:pt idx="4">
                  <c:v>Consumo de Alcohol</c:v>
                </c:pt>
                <c:pt idx="5">
                  <c:v>Consumo de Drogas</c:v>
                </c:pt>
                <c:pt idx="6">
                  <c:v>Estrés Postraumático</c:v>
                </c:pt>
                <c:pt idx="7">
                  <c:v>Espectro Esquizofrénico</c:v>
                </c:pt>
                <c:pt idx="8">
                  <c:v>Depresión Mayor</c:v>
                </c:pt>
                <c:pt idx="9">
                  <c:v>Delirante</c:v>
                </c:pt>
              </c:strCache>
            </c:strRef>
          </c:cat>
          <c:val>
            <c:numRef>
              <c:f>CORRECCION!$D$36:$D$45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0-4C9A-AB66-CA28545BF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4286160"/>
        <c:axId val="684286576"/>
      </c:barChart>
      <c:catAx>
        <c:axId val="68428616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4286576"/>
        <c:crosses val="autoZero"/>
        <c:auto val="1"/>
        <c:lblAlgn val="ctr"/>
        <c:lblOffset val="100"/>
        <c:noMultiLvlLbl val="0"/>
      </c:catAx>
      <c:valAx>
        <c:axId val="684286576"/>
        <c:scaling>
          <c:orientation val="minMax"/>
        </c:scaling>
        <c:delete val="1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8428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55c5aa7f-3f26-4740-ba54-dcd09b296c09}"/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ES"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22225</xdr:rowOff>
    </xdr:from>
    <xdr:to>
      <xdr:col>3</xdr:col>
      <xdr:colOff>304800</xdr:colOff>
      <xdr:row>5</xdr:row>
      <xdr:rowOff>76200</xdr:rowOff>
    </xdr:to>
    <xdr:pic>
      <xdr:nvPicPr>
        <xdr:cNvPr id="2" name="Picture 1" descr="Resultado de imagen para millon IV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76200" y="22225"/>
          <a:ext cx="8176260" cy="96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158749</xdr:colOff>
      <xdr:row>10</xdr:row>
      <xdr:rowOff>717552</xdr:rowOff>
    </xdr:from>
    <xdr:to>
      <xdr:col>6</xdr:col>
      <xdr:colOff>273049</xdr:colOff>
      <xdr:row>11</xdr:row>
      <xdr:rowOff>31752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216899" y="1860552"/>
          <a:ext cx="1000125" cy="752475"/>
          <a:chOff x="12446773" y="3062638"/>
          <a:chExt cx="1454150" cy="781265"/>
        </a:xfrm>
      </xdr:grpSpPr>
      <xdr:sp macro="[0]!Borrar_dato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2446773" y="3132703"/>
            <a:ext cx="1454150" cy="711200"/>
          </a:xfrm>
          <a:prstGeom prst="round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es-BO" sz="1100"/>
          </a:p>
          <a:p>
            <a:pPr algn="ctr"/>
            <a:endParaRPr lang="es-BO" sz="1100"/>
          </a:p>
          <a:p>
            <a:pPr algn="ctr"/>
            <a:r>
              <a:rPr lang="es-BO" sz="1100" b="1"/>
              <a:t>BORRAR</a:t>
            </a:r>
          </a:p>
        </xdr:txBody>
      </xdr:sp>
      <xdr:pic macro="[0]!Borrar_datos">
        <xdr:nvPicPr>
          <xdr:cNvPr id="8" name="Gráfico 7" descr="Borrador con relleno sólido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831723" y="3062638"/>
            <a:ext cx="552450" cy="5524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103655</xdr:rowOff>
    </xdr:from>
    <xdr:to>
      <xdr:col>18</xdr:col>
      <xdr:colOff>1277471</xdr:colOff>
      <xdr:row>8</xdr:row>
      <xdr:rowOff>153896</xdr:rowOff>
    </xdr:to>
    <xdr:pic>
      <xdr:nvPicPr>
        <xdr:cNvPr id="2" name="Picture 1" descr="Resultado de imagen para millon IV 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103505"/>
          <a:ext cx="11213465" cy="14522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287618</xdr:colOff>
      <xdr:row>16</xdr:row>
      <xdr:rowOff>123640</xdr:rowOff>
    </xdr:from>
    <xdr:to>
      <xdr:col>18</xdr:col>
      <xdr:colOff>1901827</xdr:colOff>
      <xdr:row>29</xdr:row>
      <xdr:rowOff>170705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63500</xdr:colOff>
      <xdr:row>9</xdr:row>
      <xdr:rowOff>4482</xdr:rowOff>
    </xdr:from>
    <xdr:to>
      <xdr:col>18</xdr:col>
      <xdr:colOff>1733178</xdr:colOff>
      <xdr:row>15</xdr:row>
      <xdr:rowOff>137832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74707</xdr:colOff>
      <xdr:row>29</xdr:row>
      <xdr:rowOff>108322</xdr:rowOff>
    </xdr:from>
    <xdr:to>
      <xdr:col>18</xdr:col>
      <xdr:colOff>1897531</xdr:colOff>
      <xdr:row>33</xdr:row>
      <xdr:rowOff>95622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100854</xdr:colOff>
      <xdr:row>34</xdr:row>
      <xdr:rowOff>58271</xdr:rowOff>
    </xdr:from>
    <xdr:to>
      <xdr:col>18</xdr:col>
      <xdr:colOff>1725708</xdr:colOff>
      <xdr:row>46</xdr:row>
      <xdr:rowOff>45570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94950</xdr:colOff>
      <xdr:row>0</xdr:row>
      <xdr:rowOff>41934</xdr:rowOff>
    </xdr:from>
    <xdr:to>
      <xdr:col>4</xdr:col>
      <xdr:colOff>1587499</xdr:colOff>
      <xdr:row>4</xdr:row>
      <xdr:rowOff>90570</xdr:rowOff>
    </xdr:to>
    <xdr:pic>
      <xdr:nvPicPr>
        <xdr:cNvPr id="2" name="Picture 1" descr="Resultado de imagen para millon IV 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94615" y="41910"/>
          <a:ext cx="4685030" cy="74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31750</xdr:rowOff>
    </xdr:from>
    <xdr:to>
      <xdr:col>4</xdr:col>
      <xdr:colOff>57150</xdr:colOff>
      <xdr:row>6</xdr:row>
      <xdr:rowOff>114300</xdr:rowOff>
    </xdr:to>
    <xdr:pic>
      <xdr:nvPicPr>
        <xdr:cNvPr id="2" name="Picture 1" descr="Resultado de imagen para millon IV 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214630"/>
          <a:ext cx="3257550" cy="996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F209"/>
  <sheetViews>
    <sheetView showGridLines="0" tabSelected="1" zoomScalePageLayoutView="160" workbookViewId="0">
      <pane xSplit="2" ySplit="12" topLeftCell="C199" activePane="bottomRight" state="frozenSplit"/>
      <selection pane="topRight"/>
      <selection pane="bottomLeft"/>
      <selection pane="bottomRight" activeCell="C13" sqref="C13:D207"/>
    </sheetView>
  </sheetViews>
  <sheetFormatPr baseColWidth="10" defaultColWidth="9.140625" defaultRowHeight="15"/>
  <cols>
    <col min="1" max="1" width="5" style="73" customWidth="1"/>
    <col min="2" max="2" width="105.85546875" style="73" customWidth="1"/>
    <col min="3" max="4" width="5" style="73" customWidth="1"/>
    <col min="5" max="5" width="8.28515625" style="74" customWidth="1"/>
    <col min="6" max="23" width="5" style="75" customWidth="1"/>
    <col min="24" max="32" width="4.7109375" style="75" customWidth="1"/>
    <col min="33" max="53" width="4.7109375" style="73" customWidth="1"/>
    <col min="54" max="16384" width="9.140625" style="73"/>
  </cols>
  <sheetData>
    <row r="1" spans="1:32" s="72" customFormat="1">
      <c r="E1" s="76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2" s="72" customFormat="1">
      <c r="E2" s="76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32" s="72" customFormat="1">
      <c r="E3" s="76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</row>
    <row r="4" spans="1:32" s="72" customFormat="1">
      <c r="E4" s="76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s="72" customFormat="1">
      <c r="E5" s="76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s="72" customFormat="1">
      <c r="E6" s="76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s="72" customFormat="1" hidden="1">
      <c r="E7" s="76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8" spans="1:32" s="72" customFormat="1" hidden="1">
      <c r="E8" s="76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s="72" customFormat="1" hidden="1">
      <c r="E9" s="76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1:32" s="72" customFormat="1" hidden="1">
      <c r="E10" s="76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</row>
    <row r="11" spans="1:32" s="72" customFormat="1" ht="113.45" customHeight="1">
      <c r="A11" s="89" t="s">
        <v>0</v>
      </c>
      <c r="B11" s="89"/>
      <c r="C11" s="89"/>
      <c r="D11" s="89"/>
      <c r="E11" s="76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</row>
    <row r="12" spans="1:32" s="72" customFormat="1">
      <c r="A12" s="90" t="s">
        <v>1</v>
      </c>
      <c r="B12" s="91"/>
      <c r="C12" s="77" t="s">
        <v>2</v>
      </c>
      <c r="D12" s="78" t="s">
        <v>3</v>
      </c>
      <c r="E12" s="76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</row>
    <row r="13" spans="1:32">
      <c r="A13" s="79">
        <v>1</v>
      </c>
      <c r="B13" s="80" t="s">
        <v>4</v>
      </c>
      <c r="C13" s="81"/>
      <c r="D13" s="82"/>
      <c r="E13" s="76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</row>
    <row r="14" spans="1:32">
      <c r="A14" s="79">
        <v>2</v>
      </c>
      <c r="B14" s="80" t="s">
        <v>5</v>
      </c>
      <c r="C14" s="81"/>
      <c r="D14" s="82"/>
      <c r="E14" s="76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32">
      <c r="A15" s="79">
        <v>3</v>
      </c>
      <c r="B15" s="80" t="s">
        <v>6</v>
      </c>
      <c r="C15" s="81"/>
      <c r="D15" s="82"/>
      <c r="E15" s="76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</row>
    <row r="16" spans="1:32">
      <c r="A16" s="79">
        <v>4</v>
      </c>
      <c r="B16" s="80" t="s">
        <v>7</v>
      </c>
      <c r="C16" s="81"/>
      <c r="D16" s="82"/>
      <c r="E16" s="76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1:32">
      <c r="A17" s="79">
        <v>5</v>
      </c>
      <c r="B17" s="80" t="s">
        <v>8</v>
      </c>
      <c r="C17" s="81"/>
      <c r="D17" s="82"/>
      <c r="E17" s="76">
        <f>(2*(C18+C27+C55+C102+C131+C151+C161+C192)+C29+C36+C42+C82+C104+D166+C202)</f>
        <v>0</v>
      </c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>
      <c r="A18" s="79">
        <v>6</v>
      </c>
      <c r="B18" s="80" t="s">
        <v>9</v>
      </c>
      <c r="C18" s="81"/>
      <c r="D18" s="82"/>
      <c r="E18" s="76">
        <f>(2*(C17+C24+C38+C111+C147+C207)+(C35+C36+C58+C64+D79+C104+C105+C124+D166+C190+C196+C205))</f>
        <v>0</v>
      </c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</row>
    <row r="19" spans="1:32">
      <c r="A19" s="79">
        <v>7</v>
      </c>
      <c r="B19" s="80" t="s">
        <v>10</v>
      </c>
      <c r="C19" s="81"/>
      <c r="D19" s="82"/>
      <c r="E19" s="76">
        <f>(2*(C35+C63+C83+C105+C123+C181+C187+C196+C205)+(C29+C34+C51+D65+C71+C82+C102+C138+C182+C190))</f>
        <v>0</v>
      </c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</row>
    <row r="20" spans="1:32">
      <c r="A20" s="79">
        <v>8</v>
      </c>
      <c r="B20" s="80" t="s">
        <v>11</v>
      </c>
      <c r="C20" s="81"/>
      <c r="D20" s="82"/>
      <c r="E20" s="76">
        <f>(2*(C16+C54+C72+C89+C121+C145+C174+C185+C206)+(C17+C35+D79+C84+C187))</f>
        <v>0</v>
      </c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>
      <c r="A21" s="79">
        <v>9</v>
      </c>
      <c r="B21" s="83" t="s">
        <v>12</v>
      </c>
      <c r="C21" s="81"/>
      <c r="D21" s="82"/>
      <c r="E21" s="76">
        <f>(2*(C22+C42+C58+C96+C129+C166+C183)+D18+C20+D27+D36+D38+C87+D151+C167+D190+D207)</f>
        <v>0</v>
      </c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>
      <c r="A22" s="79">
        <v>10</v>
      </c>
      <c r="B22" s="80" t="s">
        <v>13</v>
      </c>
      <c r="C22" s="81"/>
      <c r="D22" s="82"/>
      <c r="E22" s="76">
        <f>(2*(C20+C32+C65+C87+C141+C167+C186+C197)+(D38+C42+C58+C79+C96+D132+C154+C166+C190))</f>
        <v>0</v>
      </c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</row>
    <row r="23" spans="1:32">
      <c r="A23" s="79">
        <v>11</v>
      </c>
      <c r="B23" s="80" t="s">
        <v>14</v>
      </c>
      <c r="C23" s="81"/>
      <c r="D23" s="82"/>
      <c r="E23" s="76">
        <f>(2*(C41+C50+C66+C79+C99+C118+C144+C154+C171+C201)+(C22+C31+C95+C129+C183+C203))</f>
        <v>0</v>
      </c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</row>
    <row r="24" spans="1:32">
      <c r="A24" s="79">
        <v>12</v>
      </c>
      <c r="B24" s="80" t="s">
        <v>15</v>
      </c>
      <c r="C24" s="81"/>
      <c r="D24" s="82"/>
      <c r="E24" s="76">
        <f>(2*(C23+C31+C77+C95+C159+C195+C203)+(C48+C50+D60+C117+C164+D170+C171))</f>
        <v>0</v>
      </c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</row>
    <row r="25" spans="1:32">
      <c r="A25" s="79">
        <v>13</v>
      </c>
      <c r="B25" s="80" t="s">
        <v>16</v>
      </c>
      <c r="C25" s="81"/>
      <c r="D25" s="82"/>
      <c r="E25" s="76">
        <f>(2*(C21+C62+C78+C109+C115+C127+C153+C164)+(C23+C28+C33+C86+C157+C184))</f>
        <v>0</v>
      </c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</row>
    <row r="26" spans="1:32">
      <c r="A26" s="79">
        <v>14</v>
      </c>
      <c r="B26" s="80" t="s">
        <v>17</v>
      </c>
      <c r="C26" s="81"/>
      <c r="D26" s="82"/>
      <c r="E26" s="76">
        <f>(2*(C14+C47+C60+C75+C85+C140+C152+C170+C191+C200)+(D95+D159+D164))</f>
        <v>0</v>
      </c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</row>
    <row r="27" spans="1:32">
      <c r="A27" s="79">
        <v>15</v>
      </c>
      <c r="B27" s="80" t="s">
        <v>18</v>
      </c>
      <c r="C27" s="81"/>
      <c r="D27" s="82"/>
      <c r="E27" s="76">
        <f>(2*(C29+C44+C94+C108+C134+C149+C179+C199)+(C33+C49+C64+C91+C100+C109+C112+C180+C184+C196))</f>
        <v>0</v>
      </c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</row>
    <row r="28" spans="1:32">
      <c r="A28" s="79">
        <v>16</v>
      </c>
      <c r="B28" s="80" t="s">
        <v>19</v>
      </c>
      <c r="C28" s="81"/>
      <c r="D28" s="82"/>
      <c r="E28" s="76">
        <f>(2*(C51+C71+C97+C112+C138+C178+C204)+(C16+C24+D32+C35+C82+D87+C105+C168+C176+C190+C207))</f>
        <v>0</v>
      </c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</row>
    <row r="29" spans="1:32">
      <c r="A29" s="79">
        <v>17</v>
      </c>
      <c r="B29" s="80" t="s">
        <v>20</v>
      </c>
      <c r="C29" s="81"/>
      <c r="D29" s="82"/>
      <c r="E29" s="76">
        <f>(2*(C25+C36+C56+C104+C124+C168+C177+C202)+(C30+C70+C82+C102+C105+C133+C135+C138+C160+C175+C179+C184+C207))</f>
        <v>0</v>
      </c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</row>
    <row r="30" spans="1:32">
      <c r="A30" s="79">
        <v>18</v>
      </c>
      <c r="B30" s="80" t="s">
        <v>21</v>
      </c>
      <c r="C30" s="81"/>
      <c r="D30" s="82"/>
      <c r="E30" s="76">
        <f>(2*(C28+C30+C49+C82+C146+C176+C190)+(C16+C71+C92+C94+C105+C112+C123+C138+C149+C168+C178+C204+C205))</f>
        <v>0</v>
      </c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</row>
    <row r="31" spans="1:32">
      <c r="A31" s="79">
        <v>19</v>
      </c>
      <c r="B31" s="80" t="s">
        <v>22</v>
      </c>
      <c r="C31" s="81"/>
      <c r="D31" s="82"/>
      <c r="E31" s="76">
        <f>(2*(C33+C64+C91+C100+C116+C148+C165+C184)+(C25+C36+C80+C108+C160+C179+C192+C207))</f>
        <v>0</v>
      </c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</row>
    <row r="32" spans="1:32">
      <c r="A32" s="79">
        <v>20</v>
      </c>
      <c r="B32" s="80" t="s">
        <v>23</v>
      </c>
      <c r="C32" s="81"/>
      <c r="D32" s="82"/>
      <c r="E32" s="76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</row>
    <row r="33" spans="1:32">
      <c r="A33" s="79">
        <v>21</v>
      </c>
      <c r="B33" s="80" t="s">
        <v>24</v>
      </c>
      <c r="C33" s="81"/>
      <c r="D33" s="82"/>
      <c r="E33" s="76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</row>
    <row r="34" spans="1:32">
      <c r="A34" s="79">
        <v>22</v>
      </c>
      <c r="B34" s="80" t="s">
        <v>25</v>
      </c>
      <c r="C34" s="81"/>
      <c r="D34" s="82"/>
      <c r="E34" s="76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</row>
    <row r="35" spans="1:32">
      <c r="A35" s="79">
        <v>23</v>
      </c>
      <c r="B35" s="80" t="s">
        <v>26</v>
      </c>
      <c r="C35" s="81"/>
      <c r="D35" s="82"/>
      <c r="E35" s="76">
        <f>(2*(C45+C84+C101+C125+C135+C155)+(C43+C53+C56+C63+C103+C120+C121))</f>
        <v>0</v>
      </c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</row>
    <row r="36" spans="1:32">
      <c r="A36" s="79">
        <v>24</v>
      </c>
      <c r="B36" s="80" t="s">
        <v>27</v>
      </c>
      <c r="C36" s="81"/>
      <c r="D36" s="82"/>
      <c r="E36" s="76">
        <f>(2*(C19+C40+C53+C132+C158)+(C13+D32+C69+C125+C130))</f>
        <v>0</v>
      </c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</row>
    <row r="37" spans="1:32">
      <c r="A37" s="79">
        <v>25</v>
      </c>
      <c r="B37" s="80" t="s">
        <v>28</v>
      </c>
      <c r="C37" s="81"/>
      <c r="D37" s="82"/>
      <c r="E37" s="76">
        <f>(2*(C15+C39+C68+C120+C175+C189)+(C49+C62+C66+C94+C95+C117+C167))</f>
        <v>0</v>
      </c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>
      <c r="A38" s="79">
        <v>26</v>
      </c>
      <c r="B38" s="80" t="s">
        <v>29</v>
      </c>
      <c r="C38" s="81"/>
      <c r="D38" s="82"/>
      <c r="E38" s="76">
        <f>(2*(C26+C46+C76+C130+C163+C182)+(C29+C40+C51+C63+C83+D87+C89+C97+C105+C113+C123+C126+C132+C190+C205))</f>
        <v>0</v>
      </c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</row>
    <row r="39" spans="1:32">
      <c r="A39" s="79">
        <v>27</v>
      </c>
      <c r="B39" s="80" t="s">
        <v>30</v>
      </c>
      <c r="C39" s="81"/>
      <c r="D39" s="82"/>
      <c r="E39" s="76">
        <f>(2*(C37+C57+C106+C142+C173)+(C77+C95+C138))</f>
        <v>0</v>
      </c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</row>
    <row r="40" spans="1:32">
      <c r="A40" s="79">
        <v>28</v>
      </c>
      <c r="B40" s="80" t="s">
        <v>31</v>
      </c>
      <c r="C40" s="81"/>
      <c r="D40" s="82"/>
      <c r="E40" s="76">
        <f>(2*(C48+C73+C93+C117+C128+C136+C156)+(C23+C77+C164+C170))</f>
        <v>0</v>
      </c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</row>
    <row r="41" spans="1:32">
      <c r="A41" s="79">
        <v>29</v>
      </c>
      <c r="B41" s="80" t="s">
        <v>32</v>
      </c>
      <c r="C41" s="81"/>
      <c r="D41" s="82"/>
      <c r="E41" s="76">
        <f>(2*(C74+C88+C103+C137+C162)+(C56+C59+C69+C86+C101+C122+C125+C155+C169))</f>
        <v>0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</row>
    <row r="42" spans="1:32">
      <c r="A42" s="79">
        <v>30</v>
      </c>
      <c r="B42" s="80" t="s">
        <v>33</v>
      </c>
      <c r="C42" s="81"/>
      <c r="D42" s="82"/>
      <c r="E42" s="76">
        <f>(2*(C45+C70+C92+C133+C143+C150)+(C30+C36+C64+C94+C101+C104+C107+C116+C135+C148+C160+C168+C177+C184+C194))</f>
        <v>0</v>
      </c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</row>
    <row r="43" spans="1:32">
      <c r="A43" s="79">
        <v>31</v>
      </c>
      <c r="B43" s="80" t="s">
        <v>34</v>
      </c>
      <c r="C43" s="81"/>
      <c r="D43" s="82"/>
      <c r="E43" s="76">
        <f>(2*(C13+C34+C69+C90+C113+C119+C126)+(C40+C53+C71+C76+C82+C92+C123+C130+C132+C182))</f>
        <v>0</v>
      </c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</row>
    <row r="44" spans="1:32">
      <c r="A44" s="79">
        <v>32</v>
      </c>
      <c r="B44" s="80" t="s">
        <v>35</v>
      </c>
      <c r="C44" s="81"/>
      <c r="D44" s="82"/>
      <c r="E44" s="76">
        <f>(2*(C80+C107+C139+C160+C194)+(C25+C66+C91+C100+C124+C133+C148+C184+C201))</f>
        <v>0</v>
      </c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</row>
    <row r="45" spans="1:32">
      <c r="A45" s="79">
        <v>33</v>
      </c>
      <c r="B45" s="80" t="s">
        <v>36</v>
      </c>
      <c r="C45" s="81"/>
      <c r="D45" s="82"/>
      <c r="E45" s="76" t="s">
        <v>37</v>
      </c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</row>
    <row r="46" spans="1:32">
      <c r="A46" s="79">
        <v>34</v>
      </c>
      <c r="B46" s="80" t="s">
        <v>38</v>
      </c>
      <c r="C46" s="81"/>
      <c r="D46" s="82"/>
      <c r="E46" s="76">
        <f>C61+C110+C172</f>
        <v>0</v>
      </c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</row>
    <row r="47" spans="1:32">
      <c r="A47" s="79">
        <v>35</v>
      </c>
      <c r="B47" s="80" t="s">
        <v>39</v>
      </c>
      <c r="C47" s="81"/>
      <c r="D47" s="82"/>
      <c r="E47" s="76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</row>
    <row r="48" spans="1:32">
      <c r="A48" s="79">
        <v>36</v>
      </c>
      <c r="B48" s="80" t="s">
        <v>40</v>
      </c>
      <c r="C48" s="81"/>
      <c r="D48" s="82"/>
      <c r="E48" s="92" t="s">
        <v>41</v>
      </c>
      <c r="F48" s="93"/>
      <c r="G48" s="93" t="s">
        <v>42</v>
      </c>
      <c r="H48" s="93"/>
      <c r="I48" s="93" t="s">
        <v>43</v>
      </c>
      <c r="J48" s="93"/>
      <c r="K48" s="93" t="s">
        <v>44</v>
      </c>
      <c r="L48" s="93"/>
      <c r="M48" s="93" t="s">
        <v>45</v>
      </c>
      <c r="N48" s="93"/>
      <c r="O48" s="93" t="s">
        <v>46</v>
      </c>
      <c r="P48" s="93"/>
      <c r="Q48" s="93" t="s">
        <v>47</v>
      </c>
      <c r="R48" s="93"/>
      <c r="S48" s="93" t="s">
        <v>48</v>
      </c>
      <c r="T48" s="93"/>
      <c r="U48" s="93" t="s">
        <v>49</v>
      </c>
      <c r="V48" s="93"/>
      <c r="W48" s="11"/>
      <c r="X48" s="11"/>
      <c r="Y48" s="11"/>
      <c r="Z48" s="11"/>
      <c r="AA48" s="11"/>
      <c r="AB48" s="11"/>
      <c r="AC48" s="11"/>
      <c r="AD48" s="11"/>
      <c r="AE48" s="11"/>
      <c r="AF48" s="11"/>
    </row>
    <row r="49" spans="1:32">
      <c r="A49" s="79">
        <v>37</v>
      </c>
      <c r="B49" s="80" t="s">
        <v>50</v>
      </c>
      <c r="C49" s="81"/>
      <c r="D49" s="82"/>
      <c r="E49" s="85">
        <f>C34+C182</f>
        <v>0</v>
      </c>
      <c r="F49" s="84">
        <f>D34+D182</f>
        <v>0</v>
      </c>
      <c r="G49" s="84">
        <f>C137+C155</f>
        <v>0</v>
      </c>
      <c r="H49" s="84">
        <f>D137+D155</f>
        <v>0</v>
      </c>
      <c r="I49" s="84">
        <f>C59+C169</f>
        <v>0</v>
      </c>
      <c r="J49" s="84">
        <f>D59+D169</f>
        <v>0</v>
      </c>
      <c r="K49" s="84">
        <f>C52+C193</f>
        <v>0</v>
      </c>
      <c r="L49" s="84">
        <f>D52+D193</f>
        <v>0</v>
      </c>
      <c r="M49" s="86">
        <f>C93+C128</f>
        <v>0</v>
      </c>
      <c r="N49" s="86">
        <f>D93+D128</f>
        <v>0</v>
      </c>
      <c r="O49" s="84">
        <f>C97+C138</f>
        <v>0</v>
      </c>
      <c r="P49" s="84">
        <f>D97+D138</f>
        <v>0</v>
      </c>
      <c r="Q49" s="84">
        <f>C88+C162</f>
        <v>0</v>
      </c>
      <c r="R49" s="84">
        <f>D88+D162</f>
        <v>0</v>
      </c>
      <c r="S49" s="84">
        <f>C37+C106</f>
        <v>0</v>
      </c>
      <c r="T49" s="84">
        <f>D37+D106</f>
        <v>0</v>
      </c>
      <c r="U49" s="84">
        <f>C56+C133</f>
        <v>0</v>
      </c>
      <c r="V49" s="84">
        <f>D56+D133</f>
        <v>0</v>
      </c>
      <c r="W49" s="11"/>
      <c r="X49" s="11"/>
      <c r="Y49" s="11"/>
      <c r="Z49" s="11"/>
      <c r="AA49" s="11"/>
      <c r="AB49" s="11"/>
      <c r="AC49" s="11"/>
      <c r="AD49" s="11"/>
      <c r="AE49" s="11"/>
      <c r="AF49" s="11"/>
    </row>
    <row r="50" spans="1:32">
      <c r="A50" s="79">
        <v>38</v>
      </c>
      <c r="B50" s="80" t="s">
        <v>51</v>
      </c>
      <c r="C50" s="81"/>
      <c r="D50" s="82"/>
      <c r="E50" s="85">
        <f>IF(E49=1,1,0)</f>
        <v>0</v>
      </c>
      <c r="F50" s="84">
        <f t="shared" ref="F50:V50" si="0">IF(F49=1,1,0)</f>
        <v>0</v>
      </c>
      <c r="G50" s="84">
        <f t="shared" si="0"/>
        <v>0</v>
      </c>
      <c r="H50" s="84">
        <f t="shared" si="0"/>
        <v>0</v>
      </c>
      <c r="I50" s="84">
        <f t="shared" si="0"/>
        <v>0</v>
      </c>
      <c r="J50" s="84">
        <f t="shared" si="0"/>
        <v>0</v>
      </c>
      <c r="K50" s="84">
        <f t="shared" si="0"/>
        <v>0</v>
      </c>
      <c r="L50" s="84">
        <f t="shared" si="0"/>
        <v>0</v>
      </c>
      <c r="M50" s="84">
        <f t="shared" si="0"/>
        <v>0</v>
      </c>
      <c r="N50" s="84">
        <f t="shared" si="0"/>
        <v>0</v>
      </c>
      <c r="O50" s="84">
        <f t="shared" si="0"/>
        <v>0</v>
      </c>
      <c r="P50" s="84">
        <f t="shared" si="0"/>
        <v>0</v>
      </c>
      <c r="Q50" s="84">
        <f t="shared" si="0"/>
        <v>0</v>
      </c>
      <c r="R50" s="84">
        <f t="shared" si="0"/>
        <v>0</v>
      </c>
      <c r="S50" s="84">
        <f t="shared" si="0"/>
        <v>0</v>
      </c>
      <c r="T50" s="84">
        <f t="shared" si="0"/>
        <v>0</v>
      </c>
      <c r="U50" s="84">
        <f t="shared" si="0"/>
        <v>0</v>
      </c>
      <c r="V50" s="84">
        <f t="shared" si="0"/>
        <v>0</v>
      </c>
      <c r="W50" s="11"/>
      <c r="X50" s="11"/>
      <c r="Y50" s="11"/>
      <c r="Z50" s="11"/>
      <c r="AA50" s="11"/>
      <c r="AB50" s="11"/>
      <c r="AC50" s="11"/>
      <c r="AD50" s="11"/>
      <c r="AE50" s="11"/>
      <c r="AF50" s="11"/>
    </row>
    <row r="51" spans="1:32">
      <c r="A51" s="79">
        <v>39</v>
      </c>
      <c r="B51" s="80" t="s">
        <v>52</v>
      </c>
      <c r="C51" s="81"/>
      <c r="D51" s="82"/>
      <c r="E51" s="76">
        <f>((E50+F50)/2)</f>
        <v>0</v>
      </c>
      <c r="F51" s="11"/>
      <c r="G51" s="11">
        <f>((G50+H50)/2)</f>
        <v>0</v>
      </c>
      <c r="H51" s="11"/>
      <c r="I51" s="11">
        <f>((I50+J50)/2)</f>
        <v>0</v>
      </c>
      <c r="J51" s="11"/>
      <c r="K51" s="11">
        <f>((K50+L50)/2)</f>
        <v>0</v>
      </c>
      <c r="L51" s="11"/>
      <c r="M51" s="11">
        <f>((M50+N50)/2)</f>
        <v>0</v>
      </c>
      <c r="N51" s="11"/>
      <c r="O51" s="11">
        <f>((O50+P50)/2)</f>
        <v>0</v>
      </c>
      <c r="P51" s="11"/>
      <c r="Q51" s="11">
        <f>((Q50+R50)/2)</f>
        <v>0</v>
      </c>
      <c r="R51" s="11"/>
      <c r="S51" s="11">
        <f>((S50+T50)/2)</f>
        <v>0</v>
      </c>
      <c r="T51" s="11"/>
      <c r="U51" s="11">
        <f>((U50+V50)/2)</f>
        <v>0</v>
      </c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</row>
    <row r="52" spans="1:32">
      <c r="A52" s="79">
        <v>40</v>
      </c>
      <c r="B52" s="80" t="s">
        <v>53</v>
      </c>
      <c r="C52" s="81"/>
      <c r="D52" s="82"/>
      <c r="E52" s="92" t="s">
        <v>54</v>
      </c>
      <c r="F52" s="93"/>
      <c r="G52" s="93" t="s">
        <v>55</v>
      </c>
      <c r="H52" s="93"/>
      <c r="I52" s="93" t="s">
        <v>56</v>
      </c>
      <c r="J52" s="93"/>
      <c r="K52" s="93" t="s">
        <v>57</v>
      </c>
      <c r="L52" s="93"/>
      <c r="M52" s="93" t="s">
        <v>58</v>
      </c>
      <c r="N52" s="93"/>
      <c r="O52" s="93" t="s">
        <v>59</v>
      </c>
      <c r="P52" s="93"/>
      <c r="Q52" s="93" t="s">
        <v>60</v>
      </c>
      <c r="R52" s="93"/>
      <c r="S52" s="93" t="s">
        <v>61</v>
      </c>
      <c r="T52" s="93"/>
      <c r="U52" s="93" t="s">
        <v>62</v>
      </c>
      <c r="V52" s="93"/>
      <c r="W52" s="11"/>
      <c r="X52" s="11"/>
      <c r="Y52" s="11"/>
      <c r="Z52" s="11"/>
      <c r="AA52" s="11"/>
      <c r="AB52" s="11"/>
      <c r="AC52" s="11"/>
      <c r="AD52" s="11"/>
      <c r="AE52" s="11"/>
      <c r="AF52" s="11"/>
    </row>
    <row r="53" spans="1:32">
      <c r="A53" s="79">
        <v>41</v>
      </c>
      <c r="B53" s="80" t="s">
        <v>63</v>
      </c>
      <c r="C53" s="81"/>
      <c r="D53" s="82"/>
      <c r="E53" s="85">
        <f>C51+C71</f>
        <v>0</v>
      </c>
      <c r="F53" s="84">
        <f>D51+D71</f>
        <v>0</v>
      </c>
      <c r="G53" s="84">
        <f>C29+C196</f>
        <v>0</v>
      </c>
      <c r="H53" s="84">
        <f>D29+D196</f>
        <v>0</v>
      </c>
      <c r="I53" s="84">
        <f>C45+C101</f>
        <v>0</v>
      </c>
      <c r="J53" s="84">
        <f>D45+D101</f>
        <v>0</v>
      </c>
      <c r="K53" s="84">
        <f>C90+C176</f>
        <v>0</v>
      </c>
      <c r="L53" s="84">
        <f>D90+D176</f>
        <v>0</v>
      </c>
      <c r="M53" s="84">
        <f>C50+C183</f>
        <v>0</v>
      </c>
      <c r="N53" s="84">
        <f>D50+D183</f>
        <v>0</v>
      </c>
      <c r="O53" s="84">
        <f>C86+C127</f>
        <v>0</v>
      </c>
      <c r="P53" s="84">
        <f>D86+D127</f>
        <v>0</v>
      </c>
      <c r="Q53" s="84">
        <f>C58+C166</f>
        <v>0</v>
      </c>
      <c r="R53" s="84">
        <f>D58+D166</f>
        <v>0</v>
      </c>
      <c r="S53" s="84">
        <f>C38+C111</f>
        <v>0</v>
      </c>
      <c r="T53" s="84">
        <f>D38+D111</f>
        <v>0</v>
      </c>
      <c r="U53" s="84">
        <f>C32+C186</f>
        <v>0</v>
      </c>
      <c r="V53" s="84">
        <f>D32+D186</f>
        <v>0</v>
      </c>
      <c r="W53" s="11"/>
      <c r="X53" s="11"/>
      <c r="Y53" s="11"/>
      <c r="Z53" s="11"/>
      <c r="AA53" s="11"/>
      <c r="AB53" s="11"/>
      <c r="AC53" s="11"/>
      <c r="AD53" s="11"/>
      <c r="AE53" s="11"/>
      <c r="AF53" s="11"/>
    </row>
    <row r="54" spans="1:32">
      <c r="A54" s="79">
        <v>42</v>
      </c>
      <c r="B54" s="80" t="s">
        <v>64</v>
      </c>
      <c r="C54" s="81"/>
      <c r="D54" s="82"/>
      <c r="E54" s="85">
        <f>IF(E53=1,1,0)</f>
        <v>0</v>
      </c>
      <c r="F54" s="84">
        <f t="shared" ref="F54:V54" si="1">IF(F53=1,1,0)</f>
        <v>0</v>
      </c>
      <c r="G54" s="84">
        <f t="shared" si="1"/>
        <v>0</v>
      </c>
      <c r="H54" s="84">
        <f t="shared" si="1"/>
        <v>0</v>
      </c>
      <c r="I54" s="84">
        <f t="shared" si="1"/>
        <v>0</v>
      </c>
      <c r="J54" s="84">
        <f t="shared" si="1"/>
        <v>0</v>
      </c>
      <c r="K54" s="84">
        <f t="shared" si="1"/>
        <v>0</v>
      </c>
      <c r="L54" s="84">
        <f t="shared" si="1"/>
        <v>0</v>
      </c>
      <c r="M54" s="84">
        <f t="shared" si="1"/>
        <v>0</v>
      </c>
      <c r="N54" s="84">
        <f t="shared" si="1"/>
        <v>0</v>
      </c>
      <c r="O54" s="84">
        <f t="shared" si="1"/>
        <v>0</v>
      </c>
      <c r="P54" s="84">
        <f t="shared" si="1"/>
        <v>0</v>
      </c>
      <c r="Q54" s="84">
        <f t="shared" si="1"/>
        <v>0</v>
      </c>
      <c r="R54" s="84">
        <f t="shared" si="1"/>
        <v>0</v>
      </c>
      <c r="S54" s="84">
        <f t="shared" si="1"/>
        <v>0</v>
      </c>
      <c r="T54" s="84">
        <f t="shared" si="1"/>
        <v>0</v>
      </c>
      <c r="U54" s="84">
        <f t="shared" si="1"/>
        <v>0</v>
      </c>
      <c r="V54" s="84">
        <f t="shared" si="1"/>
        <v>0</v>
      </c>
      <c r="W54" s="11"/>
      <c r="X54" s="11"/>
      <c r="Y54" s="11"/>
      <c r="Z54" s="11"/>
      <c r="AA54" s="11"/>
      <c r="AB54" s="11"/>
      <c r="AC54" s="11"/>
      <c r="AD54" s="11"/>
      <c r="AE54" s="11"/>
      <c r="AF54" s="11"/>
    </row>
    <row r="55" spans="1:32">
      <c r="A55" s="79">
        <v>43</v>
      </c>
      <c r="B55" s="80" t="s">
        <v>65</v>
      </c>
      <c r="C55" s="81"/>
      <c r="D55" s="82"/>
      <c r="E55" s="76">
        <f>((E54+F54)/2)</f>
        <v>0</v>
      </c>
      <c r="F55" s="11"/>
      <c r="G55" s="11">
        <f>((G54+H54)/2)</f>
        <v>0</v>
      </c>
      <c r="H55" s="11"/>
      <c r="I55" s="11">
        <f>((I54+J54)/2)</f>
        <v>0</v>
      </c>
      <c r="J55" s="11"/>
      <c r="K55" s="11">
        <f>((K54+L54)/2)</f>
        <v>0</v>
      </c>
      <c r="L55" s="11"/>
      <c r="M55" s="11">
        <f>((M54+N54)/2)</f>
        <v>0</v>
      </c>
      <c r="N55" s="11"/>
      <c r="O55" s="11">
        <f>((O54+P54)/2)</f>
        <v>0</v>
      </c>
      <c r="P55" s="11"/>
      <c r="Q55" s="11">
        <f>((Q54+R54)/2)</f>
        <v>0</v>
      </c>
      <c r="R55" s="11"/>
      <c r="S55" s="11">
        <f>((S54+T54)/2)</f>
        <v>0</v>
      </c>
      <c r="T55" s="11"/>
      <c r="U55" s="11">
        <f>((U54+V54)/2)</f>
        <v>0</v>
      </c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</row>
    <row r="56" spans="1:32">
      <c r="A56" s="79">
        <v>44</v>
      </c>
      <c r="B56" s="80" t="s">
        <v>66</v>
      </c>
      <c r="C56" s="81"/>
      <c r="D56" s="82"/>
      <c r="E56" s="92" t="s">
        <v>67</v>
      </c>
      <c r="F56" s="93"/>
      <c r="G56" s="93" t="s">
        <v>68</v>
      </c>
      <c r="H56" s="93"/>
      <c r="I56" s="93" t="s">
        <v>69</v>
      </c>
      <c r="J56" s="93"/>
      <c r="K56" s="93" t="s">
        <v>70</v>
      </c>
      <c r="L56" s="93"/>
      <c r="M56" s="93" t="s">
        <v>71</v>
      </c>
      <c r="N56" s="93"/>
      <c r="O56" s="93" t="s">
        <v>72</v>
      </c>
      <c r="P56" s="93"/>
      <c r="Q56" s="93" t="s">
        <v>73</v>
      </c>
      <c r="R56" s="93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</row>
    <row r="57" spans="1:32">
      <c r="A57" s="79">
        <v>45</v>
      </c>
      <c r="B57" s="80" t="s">
        <v>74</v>
      </c>
      <c r="C57" s="81"/>
      <c r="D57" s="82"/>
      <c r="E57" s="85">
        <f>C44+C134</f>
        <v>0</v>
      </c>
      <c r="F57" s="84">
        <f>D44+D134</f>
        <v>0</v>
      </c>
      <c r="G57" s="84">
        <f>C25+C124</f>
        <v>0</v>
      </c>
      <c r="H57" s="84">
        <f>D25+D124</f>
        <v>0</v>
      </c>
      <c r="I57" s="84">
        <f>C67+C122</f>
        <v>0</v>
      </c>
      <c r="J57" s="84">
        <f>D67+D122</f>
        <v>0</v>
      </c>
      <c r="K57" s="84">
        <f>C185+C206</f>
        <v>0</v>
      </c>
      <c r="L57" s="84">
        <f>D185+D206</f>
        <v>0</v>
      </c>
      <c r="M57" s="84">
        <f>C107+C139</f>
        <v>0</v>
      </c>
      <c r="N57" s="84">
        <f>D107+D139</f>
        <v>0</v>
      </c>
      <c r="O57" s="84">
        <f>C72+C174</f>
        <v>0</v>
      </c>
      <c r="P57" s="84">
        <f>D72+D174</f>
        <v>0</v>
      </c>
      <c r="Q57" s="84">
        <f>C27+C161</f>
        <v>0</v>
      </c>
      <c r="R57" s="84">
        <f>D27+D161</f>
        <v>0</v>
      </c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</row>
    <row r="58" spans="1:32">
      <c r="A58" s="79">
        <v>46</v>
      </c>
      <c r="B58" s="80" t="s">
        <v>75</v>
      </c>
      <c r="C58" s="81"/>
      <c r="D58" s="82"/>
      <c r="E58" s="85">
        <f>IF(E57=1,1,0)</f>
        <v>0</v>
      </c>
      <c r="F58" s="84">
        <f t="shared" ref="F58:R58" si="2">IF(F57=1,1,0)</f>
        <v>0</v>
      </c>
      <c r="G58" s="84">
        <f t="shared" si="2"/>
        <v>0</v>
      </c>
      <c r="H58" s="84">
        <f t="shared" si="2"/>
        <v>0</v>
      </c>
      <c r="I58" s="84">
        <f t="shared" si="2"/>
        <v>0</v>
      </c>
      <c r="J58" s="84">
        <f t="shared" si="2"/>
        <v>0</v>
      </c>
      <c r="K58" s="84">
        <f t="shared" si="2"/>
        <v>0</v>
      </c>
      <c r="L58" s="84">
        <f t="shared" si="2"/>
        <v>0</v>
      </c>
      <c r="M58" s="84">
        <f t="shared" si="2"/>
        <v>0</v>
      </c>
      <c r="N58" s="84">
        <f t="shared" si="2"/>
        <v>0</v>
      </c>
      <c r="O58" s="84">
        <f t="shared" si="2"/>
        <v>0</v>
      </c>
      <c r="P58" s="84">
        <f t="shared" si="2"/>
        <v>0</v>
      </c>
      <c r="Q58" s="84">
        <f t="shared" si="2"/>
        <v>0</v>
      </c>
      <c r="R58" s="84">
        <f t="shared" si="2"/>
        <v>0</v>
      </c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</row>
    <row r="59" spans="1:32">
      <c r="A59" s="79">
        <v>47</v>
      </c>
      <c r="B59" s="80" t="s">
        <v>76</v>
      </c>
      <c r="C59" s="81"/>
      <c r="D59" s="82"/>
      <c r="E59" s="76">
        <f>((E58+F58)/2)</f>
        <v>0</v>
      </c>
      <c r="F59" s="11"/>
      <c r="G59" s="11">
        <f>((G58+H58)/2)</f>
        <v>0</v>
      </c>
      <c r="H59" s="11"/>
      <c r="I59" s="11">
        <f>((I58+J58)/2)</f>
        <v>0</v>
      </c>
      <c r="J59" s="11"/>
      <c r="K59" s="11">
        <f>((K58+L58)/2)</f>
        <v>0</v>
      </c>
      <c r="L59" s="11"/>
      <c r="M59" s="11">
        <f>((M58+N58)/2)</f>
        <v>0</v>
      </c>
      <c r="N59" s="11"/>
      <c r="O59" s="11">
        <f>((O58+P58)/2)</f>
        <v>0</v>
      </c>
      <c r="P59" s="11"/>
      <c r="Q59" s="11">
        <f>((Q58+R58)/2)</f>
        <v>0</v>
      </c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</row>
    <row r="60" spans="1:32">
      <c r="A60" s="79">
        <v>48</v>
      </c>
      <c r="B60" s="80" t="s">
        <v>77</v>
      </c>
      <c r="C60" s="81"/>
      <c r="D60" s="82"/>
      <c r="E60" s="76"/>
      <c r="F60" s="11"/>
      <c r="G60" s="11"/>
      <c r="H60" s="11"/>
      <c r="I60" s="11" t="s">
        <v>78</v>
      </c>
      <c r="J60" s="76">
        <f>(SUM(E51:V51)+SUM(E55:V55)+SUM(E59:R59))</f>
        <v>0</v>
      </c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</row>
    <row r="61" spans="1:32">
      <c r="A61" s="79">
        <v>49</v>
      </c>
      <c r="B61" s="80" t="s">
        <v>79</v>
      </c>
      <c r="C61" s="81"/>
      <c r="D61" s="82"/>
      <c r="E61" s="76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</row>
    <row r="62" spans="1:32">
      <c r="A62" s="79">
        <v>50</v>
      </c>
      <c r="B62" s="80" t="s">
        <v>80</v>
      </c>
      <c r="C62" s="81"/>
      <c r="D62" s="82"/>
      <c r="E62" s="76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</row>
    <row r="63" spans="1:32">
      <c r="A63" s="79">
        <v>51</v>
      </c>
      <c r="B63" s="80" t="s">
        <v>81</v>
      </c>
      <c r="C63" s="81"/>
      <c r="D63" s="82"/>
      <c r="E63" s="76"/>
      <c r="F63" s="11">
        <f>D14+C16+D17+C18+D20+C21+C22+C23+C24+C27+C28+C29+C31+D32+C33+C34+C35+C36+C38+D41+D42+C44+C47+C48+C49+C50+C51+C54+C55+D58+D60+C62+C63+C64+D65+C66+C71+C72+D75+C77+C78+D79+C82+C83+C84+D85+C86+D87+C89+C91+C94+C95+D96+C97+C99+C100+C102+C104+C105+C108+C109+C111+C112+C115+C117+C118+C121+C123+C124+C127+C129+C131+C132+C134+C138+C140+C141+C144+C145+C147+C149+C151+C152+C153+D154+C157+C159+C161+C164+D166+D167+C168+D170+C171+C174+C176+C178+C179+C180+C181+C182+C183+C184+C185+D186+C187+C190+C191+C192+C195+C196+D197+C199+C200+C201+C202+C203+C204+C205+C206+C207</f>
        <v>0</v>
      </c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</row>
    <row r="64" spans="1:32">
      <c r="A64" s="79">
        <v>52</v>
      </c>
      <c r="B64" s="80" t="s">
        <v>82</v>
      </c>
      <c r="C64" s="81"/>
      <c r="D64" s="82"/>
      <c r="E64" s="76"/>
      <c r="F64" s="11">
        <f>C14+C15+C20+C32+C42+C58+D77+C79+D83+C85+C87+C96+D102+D111+C166+C167+C170+D171+D174+D185+C186+C197+D199+C200</f>
        <v>0</v>
      </c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</row>
    <row r="65" spans="1:32">
      <c r="A65" s="79">
        <v>53</v>
      </c>
      <c r="B65" s="80" t="s">
        <v>83</v>
      </c>
      <c r="C65" s="81"/>
      <c r="D65" s="82"/>
      <c r="E65" s="76"/>
      <c r="F65" s="11">
        <f>C13+C26+C28+C29+C30+C34+C40+C43+C44+C46+C49+C51+C53+C56+C63+C76+C86+C90+C92+C113+C119+C121+C124+C125+C132+C163+C176+C182+C190+C205</f>
        <v>0</v>
      </c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</row>
    <row r="66" spans="1:32">
      <c r="A66" s="79">
        <v>54</v>
      </c>
      <c r="B66" s="80" t="s">
        <v>84</v>
      </c>
      <c r="C66" s="81"/>
      <c r="D66" s="82"/>
      <c r="E66" s="76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</row>
    <row r="67" spans="1:32">
      <c r="A67" s="79">
        <v>55</v>
      </c>
      <c r="B67" s="80" t="s">
        <v>85</v>
      </c>
      <c r="C67" s="81"/>
      <c r="D67" s="82"/>
      <c r="E67" s="76"/>
      <c r="F67" s="11">
        <v>1.1000000000000001</v>
      </c>
      <c r="G67" s="11" t="s">
        <v>86</v>
      </c>
      <c r="H67" s="11">
        <f>C24+C27+C36+C116+C161+D166+C192+D197+C202</f>
        <v>0</v>
      </c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</row>
    <row r="68" spans="1:32">
      <c r="A68" s="79">
        <v>56</v>
      </c>
      <c r="B68" s="80" t="s">
        <v>87</v>
      </c>
      <c r="C68" s="81"/>
      <c r="D68" s="82"/>
      <c r="E68" s="76"/>
      <c r="F68" s="11"/>
      <c r="G68" s="11" t="s">
        <v>88</v>
      </c>
      <c r="H68" s="11">
        <f>C38+D42+D58+D79+C111+C151+C187+C190+C207</f>
        <v>0</v>
      </c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</row>
    <row r="69" spans="1:32">
      <c r="A69" s="79">
        <v>57</v>
      </c>
      <c r="B69" s="80" t="s">
        <v>89</v>
      </c>
      <c r="C69" s="81"/>
      <c r="D69" s="82"/>
      <c r="E69" s="76"/>
      <c r="F69" s="11"/>
      <c r="G69" s="11" t="s">
        <v>90</v>
      </c>
      <c r="H69" s="11">
        <f>C18+C29+C55+C82+C102+C104+C123+C130+C131</f>
        <v>0</v>
      </c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</row>
    <row r="70" spans="1:32">
      <c r="A70" s="79">
        <v>58</v>
      </c>
      <c r="B70" s="80" t="s">
        <v>91</v>
      </c>
      <c r="C70" s="81"/>
      <c r="D70" s="82"/>
      <c r="E70" s="76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</row>
    <row r="71" spans="1:32">
      <c r="A71" s="79">
        <v>59</v>
      </c>
      <c r="B71" s="80" t="s">
        <v>92</v>
      </c>
      <c r="C71" s="81"/>
      <c r="D71" s="82"/>
      <c r="E71" s="76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</row>
    <row r="72" spans="1:32">
      <c r="A72" s="79">
        <v>60</v>
      </c>
      <c r="B72" s="80" t="s">
        <v>93</v>
      </c>
      <c r="C72" s="81"/>
      <c r="D72" s="82"/>
      <c r="E72" s="76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</row>
    <row r="73" spans="1:32">
      <c r="A73" s="79">
        <v>61</v>
      </c>
      <c r="B73" s="80" t="s">
        <v>94</v>
      </c>
      <c r="C73" s="81"/>
      <c r="D73" s="82"/>
      <c r="E73" s="76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</row>
    <row r="74" spans="1:32">
      <c r="A74" s="79">
        <v>62</v>
      </c>
      <c r="B74" s="80" t="s">
        <v>95</v>
      </c>
      <c r="C74" s="81"/>
      <c r="D74" s="82"/>
      <c r="E74" s="76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</row>
    <row r="75" spans="1:32">
      <c r="A75" s="79">
        <v>63</v>
      </c>
      <c r="B75" s="80" t="s">
        <v>96</v>
      </c>
      <c r="C75" s="81"/>
      <c r="D75" s="82"/>
      <c r="E75" s="76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</row>
    <row r="76" spans="1:32">
      <c r="A76" s="79">
        <v>64</v>
      </c>
      <c r="B76" s="80" t="s">
        <v>97</v>
      </c>
      <c r="C76" s="81"/>
      <c r="D76" s="82"/>
      <c r="E76" s="76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</row>
    <row r="77" spans="1:32">
      <c r="A77" s="79">
        <v>65</v>
      </c>
      <c r="B77" s="80" t="s">
        <v>98</v>
      </c>
      <c r="C77" s="81"/>
      <c r="D77" s="82"/>
      <c r="E77" s="76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</row>
    <row r="78" spans="1:32">
      <c r="A78" s="79">
        <v>66</v>
      </c>
      <c r="B78" s="80" t="s">
        <v>99</v>
      </c>
      <c r="C78" s="81"/>
      <c r="D78" s="82"/>
      <c r="E78" s="76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</row>
    <row r="79" spans="1:32">
      <c r="A79" s="79">
        <v>67</v>
      </c>
      <c r="B79" s="80" t="s">
        <v>100</v>
      </c>
      <c r="C79" s="81"/>
      <c r="D79" s="82"/>
      <c r="E79" s="76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</row>
    <row r="80" spans="1:32">
      <c r="A80" s="79">
        <v>68</v>
      </c>
      <c r="B80" s="80" t="s">
        <v>101</v>
      </c>
      <c r="C80" s="81"/>
      <c r="D80" s="82"/>
      <c r="E80" s="76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</row>
    <row r="81" spans="1:32">
      <c r="A81" s="79">
        <v>69</v>
      </c>
      <c r="B81" s="80" t="s">
        <v>102</v>
      </c>
      <c r="C81" s="81"/>
      <c r="D81" s="82"/>
      <c r="E81" s="76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</row>
    <row r="82" spans="1:32">
      <c r="A82" s="79">
        <v>70</v>
      </c>
      <c r="B82" s="80" t="s">
        <v>103</v>
      </c>
      <c r="C82" s="81"/>
      <c r="D82" s="82"/>
      <c r="E82" s="76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</row>
    <row r="83" spans="1:32">
      <c r="A83" s="79">
        <v>71</v>
      </c>
      <c r="B83" s="80" t="s">
        <v>104</v>
      </c>
      <c r="C83" s="81"/>
      <c r="D83" s="82"/>
      <c r="E83" s="76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</row>
    <row r="84" spans="1:32">
      <c r="A84" s="79">
        <v>72</v>
      </c>
      <c r="B84" s="80" t="s">
        <v>105</v>
      </c>
      <c r="C84" s="81"/>
      <c r="D84" s="82"/>
      <c r="E84" s="76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</row>
    <row r="85" spans="1:32">
      <c r="A85" s="79">
        <v>73</v>
      </c>
      <c r="B85" s="80" t="s">
        <v>106</v>
      </c>
      <c r="C85" s="81"/>
      <c r="D85" s="82"/>
      <c r="E85" s="76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</row>
    <row r="86" spans="1:32">
      <c r="A86" s="79">
        <v>74</v>
      </c>
      <c r="B86" s="80" t="s">
        <v>107</v>
      </c>
      <c r="C86" s="81"/>
      <c r="D86" s="82"/>
      <c r="E86" s="76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</row>
    <row r="87" spans="1:32">
      <c r="A87" s="79">
        <v>75</v>
      </c>
      <c r="B87" s="80" t="s">
        <v>108</v>
      </c>
      <c r="C87" s="81"/>
      <c r="D87" s="82"/>
      <c r="E87" s="76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</row>
    <row r="88" spans="1:32">
      <c r="A88" s="79">
        <v>76</v>
      </c>
      <c r="B88" s="80" t="s">
        <v>109</v>
      </c>
      <c r="C88" s="81"/>
      <c r="D88" s="82"/>
      <c r="E88" s="76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</row>
    <row r="89" spans="1:32">
      <c r="A89" s="79">
        <v>77</v>
      </c>
      <c r="B89" s="80" t="s">
        <v>110</v>
      </c>
      <c r="C89" s="81"/>
      <c r="D89" s="82"/>
      <c r="E89" s="76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</row>
    <row r="90" spans="1:32">
      <c r="A90" s="79">
        <v>78</v>
      </c>
      <c r="B90" s="80" t="s">
        <v>111</v>
      </c>
      <c r="C90" s="81"/>
      <c r="D90" s="82"/>
      <c r="E90" s="76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</row>
    <row r="91" spans="1:32">
      <c r="A91" s="79">
        <v>79</v>
      </c>
      <c r="B91" s="80" t="s">
        <v>112</v>
      </c>
      <c r="C91" s="81"/>
      <c r="D91" s="82"/>
      <c r="E91" s="76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</row>
    <row r="92" spans="1:32">
      <c r="A92" s="79">
        <v>80</v>
      </c>
      <c r="B92" s="80" t="s">
        <v>113</v>
      </c>
      <c r="C92" s="81"/>
      <c r="D92" s="82"/>
      <c r="E92" s="76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</row>
    <row r="93" spans="1:32">
      <c r="A93" s="79">
        <v>81</v>
      </c>
      <c r="B93" s="80" t="s">
        <v>114</v>
      </c>
      <c r="C93" s="81"/>
      <c r="D93" s="82"/>
      <c r="E93" s="76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</row>
    <row r="94" spans="1:32">
      <c r="A94" s="79">
        <v>82</v>
      </c>
      <c r="B94" s="80" t="s">
        <v>115</v>
      </c>
      <c r="C94" s="81"/>
      <c r="D94" s="82"/>
      <c r="E94" s="76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</row>
    <row r="95" spans="1:32">
      <c r="A95" s="79">
        <v>83</v>
      </c>
      <c r="B95" s="80" t="s">
        <v>116</v>
      </c>
      <c r="C95" s="81"/>
      <c r="D95" s="82"/>
      <c r="E95" s="76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</row>
    <row r="96" spans="1:32">
      <c r="A96" s="79">
        <v>84</v>
      </c>
      <c r="B96" s="80" t="s">
        <v>117</v>
      </c>
      <c r="C96" s="81"/>
      <c r="D96" s="82"/>
      <c r="E96" s="76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</row>
    <row r="97" spans="1:32">
      <c r="A97" s="79">
        <v>85</v>
      </c>
      <c r="B97" s="80" t="s">
        <v>118</v>
      </c>
      <c r="C97" s="81"/>
      <c r="D97" s="82"/>
      <c r="E97" s="76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</row>
    <row r="98" spans="1:32">
      <c r="A98" s="79">
        <v>86</v>
      </c>
      <c r="B98" s="80" t="s">
        <v>119</v>
      </c>
      <c r="C98" s="81"/>
      <c r="D98" s="82"/>
      <c r="E98" s="76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</row>
    <row r="99" spans="1:32">
      <c r="A99" s="79">
        <v>87</v>
      </c>
      <c r="B99" s="80" t="s">
        <v>120</v>
      </c>
      <c r="C99" s="81"/>
      <c r="D99" s="82"/>
      <c r="E99" s="76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</row>
    <row r="100" spans="1:32">
      <c r="A100" s="79">
        <v>88</v>
      </c>
      <c r="B100" s="80" t="s">
        <v>121</v>
      </c>
      <c r="C100" s="81"/>
      <c r="D100" s="82"/>
      <c r="E100" s="76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</row>
    <row r="101" spans="1:32">
      <c r="A101" s="79">
        <v>89</v>
      </c>
      <c r="B101" s="80" t="s">
        <v>122</v>
      </c>
      <c r="C101" s="81"/>
      <c r="D101" s="82"/>
      <c r="E101" s="76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</row>
    <row r="102" spans="1:32">
      <c r="A102" s="79">
        <v>90</v>
      </c>
      <c r="B102" s="80" t="s">
        <v>123</v>
      </c>
      <c r="C102" s="81"/>
      <c r="D102" s="82"/>
      <c r="E102" s="76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</row>
    <row r="103" spans="1:32">
      <c r="A103" s="79">
        <v>91</v>
      </c>
      <c r="B103" s="80" t="s">
        <v>124</v>
      </c>
      <c r="C103" s="81"/>
      <c r="D103" s="82"/>
      <c r="E103" s="76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</row>
    <row r="104" spans="1:32">
      <c r="A104" s="79">
        <v>92</v>
      </c>
      <c r="B104" s="80" t="s">
        <v>125</v>
      </c>
      <c r="C104" s="81"/>
      <c r="D104" s="82"/>
      <c r="E104" s="76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</row>
    <row r="105" spans="1:32">
      <c r="A105" s="79">
        <v>93</v>
      </c>
      <c r="B105" s="80" t="s">
        <v>126</v>
      </c>
      <c r="C105" s="81"/>
      <c r="D105" s="82"/>
      <c r="E105" s="76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</row>
    <row r="106" spans="1:32">
      <c r="A106" s="79">
        <v>94</v>
      </c>
      <c r="B106" s="80" t="s">
        <v>127</v>
      </c>
      <c r="C106" s="81"/>
      <c r="D106" s="82"/>
      <c r="E106" s="76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</row>
    <row r="107" spans="1:32">
      <c r="A107" s="79">
        <v>95</v>
      </c>
      <c r="B107" s="80" t="s">
        <v>128</v>
      </c>
      <c r="C107" s="81"/>
      <c r="D107" s="82"/>
      <c r="E107" s="76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</row>
    <row r="108" spans="1:32">
      <c r="A108" s="79">
        <v>96</v>
      </c>
      <c r="B108" s="80" t="s">
        <v>129</v>
      </c>
      <c r="C108" s="81"/>
      <c r="D108" s="82"/>
      <c r="E108" s="76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:32">
      <c r="A109" s="79">
        <v>97</v>
      </c>
      <c r="B109" s="80" t="s">
        <v>130</v>
      </c>
      <c r="C109" s="81"/>
      <c r="D109" s="82"/>
      <c r="E109" s="76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:32">
      <c r="A110" s="79">
        <v>98</v>
      </c>
      <c r="B110" s="80" t="s">
        <v>131</v>
      </c>
      <c r="C110" s="81"/>
      <c r="D110" s="82"/>
      <c r="E110" s="76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</row>
    <row r="111" spans="1:32">
      <c r="A111" s="79">
        <v>99</v>
      </c>
      <c r="B111" s="80" t="s">
        <v>132</v>
      </c>
      <c r="C111" s="81"/>
      <c r="D111" s="82"/>
      <c r="E111" s="76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</row>
    <row r="112" spans="1:32">
      <c r="A112" s="79">
        <v>100</v>
      </c>
      <c r="B112" s="80" t="s">
        <v>133</v>
      </c>
      <c r="C112" s="81"/>
      <c r="D112" s="82"/>
      <c r="E112" s="76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</row>
    <row r="113" spans="1:32">
      <c r="A113" s="79">
        <v>101</v>
      </c>
      <c r="B113" s="80" t="s">
        <v>134</v>
      </c>
      <c r="C113" s="81"/>
      <c r="D113" s="82"/>
      <c r="E113" s="76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</row>
    <row r="114" spans="1:32">
      <c r="A114" s="79">
        <v>102</v>
      </c>
      <c r="B114" s="80" t="s">
        <v>135</v>
      </c>
      <c r="C114" s="81"/>
      <c r="D114" s="82"/>
      <c r="E114" s="76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</row>
    <row r="115" spans="1:32">
      <c r="A115" s="79">
        <v>103</v>
      </c>
      <c r="B115" s="80" t="s">
        <v>136</v>
      </c>
      <c r="C115" s="81"/>
      <c r="D115" s="82"/>
      <c r="E115" s="76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</row>
    <row r="116" spans="1:32">
      <c r="A116" s="79">
        <v>104</v>
      </c>
      <c r="B116" s="80" t="s">
        <v>137</v>
      </c>
      <c r="C116" s="81"/>
      <c r="D116" s="82"/>
      <c r="E116" s="76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</row>
    <row r="117" spans="1:32">
      <c r="A117" s="79">
        <v>105</v>
      </c>
      <c r="B117" s="80" t="s">
        <v>138</v>
      </c>
      <c r="C117" s="81"/>
      <c r="D117" s="82"/>
      <c r="E117" s="76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</row>
    <row r="118" spans="1:32">
      <c r="A118" s="79">
        <v>106</v>
      </c>
      <c r="B118" s="80" t="s">
        <v>139</v>
      </c>
      <c r="C118" s="81"/>
      <c r="D118" s="82"/>
      <c r="E118" s="76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</row>
    <row r="119" spans="1:32">
      <c r="A119" s="79">
        <v>107</v>
      </c>
      <c r="B119" s="80" t="s">
        <v>140</v>
      </c>
      <c r="C119" s="81"/>
      <c r="D119" s="82"/>
      <c r="E119" s="76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</row>
    <row r="120" spans="1:32">
      <c r="A120" s="79">
        <v>108</v>
      </c>
      <c r="B120" s="80" t="s">
        <v>141</v>
      </c>
      <c r="C120" s="81"/>
      <c r="D120" s="82"/>
      <c r="E120" s="76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</row>
    <row r="121" spans="1:32">
      <c r="A121" s="79">
        <v>109</v>
      </c>
      <c r="B121" s="80" t="s">
        <v>142</v>
      </c>
      <c r="C121" s="81"/>
      <c r="D121" s="82"/>
      <c r="E121" s="76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</row>
    <row r="122" spans="1:32">
      <c r="A122" s="79">
        <v>110</v>
      </c>
      <c r="B122" s="80" t="s">
        <v>143</v>
      </c>
      <c r="C122" s="81"/>
      <c r="D122" s="82"/>
      <c r="E122" s="76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</row>
    <row r="123" spans="1:32">
      <c r="A123" s="79">
        <v>111</v>
      </c>
      <c r="B123" s="80" t="s">
        <v>144</v>
      </c>
      <c r="C123" s="81"/>
      <c r="D123" s="82"/>
      <c r="E123" s="76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</row>
    <row r="124" spans="1:32">
      <c r="A124" s="79">
        <v>112</v>
      </c>
      <c r="B124" s="80" t="s">
        <v>145</v>
      </c>
      <c r="C124" s="81"/>
      <c r="D124" s="82"/>
      <c r="E124" s="76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</row>
    <row r="125" spans="1:32">
      <c r="A125" s="79">
        <v>113</v>
      </c>
      <c r="B125" s="80" t="s">
        <v>146</v>
      </c>
      <c r="C125" s="81"/>
      <c r="D125" s="82"/>
      <c r="E125" s="76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</row>
    <row r="126" spans="1:32">
      <c r="A126" s="79">
        <v>114</v>
      </c>
      <c r="B126" s="80" t="s">
        <v>147</v>
      </c>
      <c r="C126" s="81"/>
      <c r="D126" s="82"/>
      <c r="E126" s="76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</row>
    <row r="127" spans="1:32">
      <c r="A127" s="79">
        <v>115</v>
      </c>
      <c r="B127" s="80" t="s">
        <v>148</v>
      </c>
      <c r="C127" s="81"/>
      <c r="D127" s="82"/>
      <c r="E127" s="76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</row>
    <row r="128" spans="1:32">
      <c r="A128" s="79">
        <v>116</v>
      </c>
      <c r="B128" s="80" t="s">
        <v>149</v>
      </c>
      <c r="C128" s="81"/>
      <c r="D128" s="82"/>
      <c r="E128" s="76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</row>
    <row r="129" spans="1:32">
      <c r="A129" s="79">
        <v>117</v>
      </c>
      <c r="B129" s="80" t="s">
        <v>150</v>
      </c>
      <c r="C129" s="81"/>
      <c r="D129" s="82"/>
      <c r="E129" s="76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</row>
    <row r="130" spans="1:32">
      <c r="A130" s="79">
        <v>118</v>
      </c>
      <c r="B130" s="80" t="s">
        <v>151</v>
      </c>
      <c r="C130" s="81"/>
      <c r="D130" s="82"/>
      <c r="E130" s="76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</row>
    <row r="131" spans="1:32">
      <c r="A131" s="79">
        <v>119</v>
      </c>
      <c r="B131" s="80" t="s">
        <v>152</v>
      </c>
      <c r="C131" s="81"/>
      <c r="D131" s="82"/>
      <c r="E131" s="76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</row>
    <row r="132" spans="1:32">
      <c r="A132" s="79">
        <v>120</v>
      </c>
      <c r="B132" s="80" t="s">
        <v>153</v>
      </c>
      <c r="C132" s="81"/>
      <c r="D132" s="82"/>
      <c r="E132" s="76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</row>
    <row r="133" spans="1:32">
      <c r="A133" s="79">
        <v>121</v>
      </c>
      <c r="B133" s="80" t="s">
        <v>154</v>
      </c>
      <c r="C133" s="81"/>
      <c r="D133" s="82"/>
      <c r="E133" s="76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</row>
    <row r="134" spans="1:32">
      <c r="A134" s="79">
        <v>122</v>
      </c>
      <c r="B134" s="80" t="s">
        <v>155</v>
      </c>
      <c r="C134" s="81"/>
      <c r="D134" s="82"/>
      <c r="E134" s="76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</row>
    <row r="135" spans="1:32" ht="15.75" customHeight="1">
      <c r="A135" s="79">
        <v>123</v>
      </c>
      <c r="B135" s="80" t="s">
        <v>156</v>
      </c>
      <c r="C135" s="81"/>
      <c r="D135" s="82"/>
      <c r="E135" s="76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</row>
    <row r="136" spans="1:32">
      <c r="A136" s="79">
        <v>124</v>
      </c>
      <c r="B136" s="80" t="s">
        <v>157</v>
      </c>
      <c r="C136" s="81"/>
      <c r="D136" s="82"/>
      <c r="E136" s="76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</row>
    <row r="137" spans="1:32">
      <c r="A137" s="79">
        <v>125</v>
      </c>
      <c r="B137" s="80" t="s">
        <v>158</v>
      </c>
      <c r="C137" s="81"/>
      <c r="D137" s="82"/>
      <c r="E137" s="76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</row>
    <row r="138" spans="1:32">
      <c r="A138" s="79">
        <v>126</v>
      </c>
      <c r="B138" s="80" t="s">
        <v>159</v>
      </c>
      <c r="C138" s="81"/>
      <c r="D138" s="82"/>
      <c r="E138" s="76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</row>
    <row r="139" spans="1:32">
      <c r="A139" s="79">
        <v>127</v>
      </c>
      <c r="B139" s="80" t="s">
        <v>160</v>
      </c>
      <c r="C139" s="81"/>
      <c r="D139" s="82"/>
      <c r="E139" s="76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</row>
    <row r="140" spans="1:32">
      <c r="A140" s="79">
        <v>128</v>
      </c>
      <c r="B140" s="80" t="s">
        <v>161</v>
      </c>
      <c r="C140" s="81"/>
      <c r="D140" s="82"/>
      <c r="E140" s="76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</row>
    <row r="141" spans="1:32">
      <c r="A141" s="79">
        <v>129</v>
      </c>
      <c r="B141" s="80" t="s">
        <v>162</v>
      </c>
      <c r="C141" s="81"/>
      <c r="D141" s="82"/>
      <c r="E141" s="76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</row>
    <row r="142" spans="1:32">
      <c r="A142" s="79">
        <v>130</v>
      </c>
      <c r="B142" s="80" t="s">
        <v>163</v>
      </c>
      <c r="C142" s="81"/>
      <c r="D142" s="82"/>
      <c r="E142" s="76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</row>
    <row r="143" spans="1:32">
      <c r="A143" s="79">
        <v>131</v>
      </c>
      <c r="B143" s="80" t="s">
        <v>164</v>
      </c>
      <c r="C143" s="81"/>
      <c r="D143" s="82"/>
      <c r="E143" s="76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</row>
    <row r="144" spans="1:32">
      <c r="A144" s="79">
        <v>132</v>
      </c>
      <c r="B144" s="80" t="s">
        <v>165</v>
      </c>
      <c r="C144" s="81"/>
      <c r="D144" s="82"/>
      <c r="E144" s="76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</row>
    <row r="145" spans="1:32">
      <c r="A145" s="79">
        <v>133</v>
      </c>
      <c r="B145" s="80" t="s">
        <v>166</v>
      </c>
      <c r="C145" s="81"/>
      <c r="D145" s="82"/>
      <c r="E145" s="76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</row>
    <row r="146" spans="1:32">
      <c r="A146" s="79">
        <v>134</v>
      </c>
      <c r="B146" s="80" t="s">
        <v>167</v>
      </c>
      <c r="C146" s="81"/>
      <c r="D146" s="82"/>
      <c r="E146" s="76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</row>
    <row r="147" spans="1:32">
      <c r="A147" s="79">
        <v>135</v>
      </c>
      <c r="B147" s="80" t="s">
        <v>168</v>
      </c>
      <c r="C147" s="81"/>
      <c r="D147" s="82"/>
      <c r="E147" s="76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</row>
    <row r="148" spans="1:32">
      <c r="A148" s="79">
        <v>136</v>
      </c>
      <c r="B148" s="80" t="s">
        <v>169</v>
      </c>
      <c r="C148" s="81"/>
      <c r="D148" s="82"/>
      <c r="E148" s="76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</row>
    <row r="149" spans="1:32">
      <c r="A149" s="79">
        <v>137</v>
      </c>
      <c r="B149" s="80" t="s">
        <v>170</v>
      </c>
      <c r="C149" s="81"/>
      <c r="D149" s="82"/>
      <c r="E149" s="76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</row>
    <row r="150" spans="1:32">
      <c r="A150" s="79">
        <v>138</v>
      </c>
      <c r="B150" s="80" t="s">
        <v>171</v>
      </c>
      <c r="C150" s="81"/>
      <c r="D150" s="82"/>
      <c r="E150" s="76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</row>
    <row r="151" spans="1:32">
      <c r="A151" s="79">
        <v>139</v>
      </c>
      <c r="B151" s="80" t="s">
        <v>172</v>
      </c>
      <c r="C151" s="81"/>
      <c r="D151" s="82"/>
      <c r="E151" s="76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</row>
    <row r="152" spans="1:32">
      <c r="A152" s="79">
        <v>140</v>
      </c>
      <c r="B152" s="80" t="s">
        <v>173</v>
      </c>
      <c r="C152" s="81"/>
      <c r="D152" s="82"/>
      <c r="E152" s="76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</row>
    <row r="153" spans="1:32">
      <c r="A153" s="79">
        <v>141</v>
      </c>
      <c r="B153" s="80" t="s">
        <v>174</v>
      </c>
      <c r="C153" s="81"/>
      <c r="D153" s="82"/>
      <c r="E153" s="76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</row>
    <row r="154" spans="1:32">
      <c r="A154" s="79">
        <v>142</v>
      </c>
      <c r="B154" s="80" t="s">
        <v>175</v>
      </c>
      <c r="C154" s="81"/>
      <c r="D154" s="82"/>
      <c r="E154" s="76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</row>
    <row r="155" spans="1:32">
      <c r="A155" s="79">
        <v>143</v>
      </c>
      <c r="B155" s="80" t="s">
        <v>176</v>
      </c>
      <c r="C155" s="81"/>
      <c r="D155" s="82"/>
      <c r="E155" s="76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</row>
    <row r="156" spans="1:32">
      <c r="A156" s="79">
        <v>144</v>
      </c>
      <c r="B156" s="80" t="s">
        <v>177</v>
      </c>
      <c r="C156" s="81"/>
      <c r="D156" s="82"/>
      <c r="E156" s="76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</row>
    <row r="157" spans="1:32">
      <c r="A157" s="79">
        <v>145</v>
      </c>
      <c r="B157" s="80" t="s">
        <v>178</v>
      </c>
      <c r="C157" s="81"/>
      <c r="D157" s="82"/>
      <c r="E157" s="76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</row>
    <row r="158" spans="1:32">
      <c r="A158" s="79">
        <v>146</v>
      </c>
      <c r="B158" s="80" t="s">
        <v>179</v>
      </c>
      <c r="C158" s="81"/>
      <c r="D158" s="82"/>
      <c r="E158" s="76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</row>
    <row r="159" spans="1:32">
      <c r="A159" s="79">
        <v>147</v>
      </c>
      <c r="B159" s="80" t="s">
        <v>180</v>
      </c>
      <c r="C159" s="81"/>
      <c r="D159" s="82"/>
      <c r="E159" s="76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</row>
    <row r="160" spans="1:32">
      <c r="A160" s="79">
        <v>148</v>
      </c>
      <c r="B160" s="80" t="s">
        <v>181</v>
      </c>
      <c r="C160" s="81"/>
      <c r="D160" s="82"/>
      <c r="E160" s="76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</row>
    <row r="161" spans="1:32">
      <c r="A161" s="79">
        <v>149</v>
      </c>
      <c r="B161" s="80" t="s">
        <v>182</v>
      </c>
      <c r="C161" s="81"/>
      <c r="D161" s="82"/>
      <c r="E161" s="76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</row>
    <row r="162" spans="1:32">
      <c r="A162" s="79">
        <v>150</v>
      </c>
      <c r="B162" s="80" t="s">
        <v>183</v>
      </c>
      <c r="C162" s="81"/>
      <c r="D162" s="82"/>
      <c r="E162" s="76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</row>
    <row r="163" spans="1:32">
      <c r="A163" s="79">
        <v>151</v>
      </c>
      <c r="B163" s="80" t="s">
        <v>184</v>
      </c>
      <c r="C163" s="81"/>
      <c r="D163" s="82"/>
      <c r="E163" s="76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</row>
    <row r="164" spans="1:32">
      <c r="A164" s="79">
        <v>152</v>
      </c>
      <c r="B164" s="80" t="s">
        <v>185</v>
      </c>
      <c r="C164" s="81"/>
      <c r="D164" s="82"/>
      <c r="E164" s="76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</row>
    <row r="165" spans="1:32">
      <c r="A165" s="79">
        <v>153</v>
      </c>
      <c r="B165" s="80" t="s">
        <v>186</v>
      </c>
      <c r="C165" s="81"/>
      <c r="D165" s="82"/>
      <c r="E165" s="76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</row>
    <row r="166" spans="1:32">
      <c r="A166" s="79">
        <v>154</v>
      </c>
      <c r="B166" s="80" t="s">
        <v>187</v>
      </c>
      <c r="C166" s="81"/>
      <c r="D166" s="82"/>
      <c r="E166" s="76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</row>
    <row r="167" spans="1:32">
      <c r="A167" s="79">
        <v>155</v>
      </c>
      <c r="B167" s="80" t="s">
        <v>188</v>
      </c>
      <c r="C167" s="81"/>
      <c r="D167" s="82"/>
      <c r="E167" s="76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</row>
    <row r="168" spans="1:32">
      <c r="A168" s="79">
        <v>156</v>
      </c>
      <c r="B168" s="80" t="s">
        <v>189</v>
      </c>
      <c r="C168" s="81"/>
      <c r="D168" s="82"/>
      <c r="E168" s="76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</row>
    <row r="169" spans="1:32">
      <c r="A169" s="79">
        <v>157</v>
      </c>
      <c r="B169" s="80" t="s">
        <v>190</v>
      </c>
      <c r="C169" s="81"/>
      <c r="D169" s="82"/>
      <c r="E169" s="76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</row>
    <row r="170" spans="1:32">
      <c r="A170" s="79">
        <v>158</v>
      </c>
      <c r="B170" s="80" t="s">
        <v>191</v>
      </c>
      <c r="C170" s="81"/>
      <c r="D170" s="82"/>
      <c r="E170" s="76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</row>
    <row r="171" spans="1:32">
      <c r="A171" s="79">
        <v>159</v>
      </c>
      <c r="B171" s="80" t="s">
        <v>192</v>
      </c>
      <c r="C171" s="81"/>
      <c r="D171" s="82"/>
      <c r="E171" s="76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</row>
    <row r="172" spans="1:32">
      <c r="A172" s="79">
        <v>160</v>
      </c>
      <c r="B172" s="80" t="s">
        <v>193</v>
      </c>
      <c r="C172" s="81"/>
      <c r="D172" s="82"/>
      <c r="E172" s="76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</row>
    <row r="173" spans="1:32">
      <c r="A173" s="79">
        <v>161</v>
      </c>
      <c r="B173" s="80" t="s">
        <v>194</v>
      </c>
      <c r="C173" s="81"/>
      <c r="D173" s="82"/>
      <c r="E173" s="76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</row>
    <row r="174" spans="1:32">
      <c r="A174" s="79">
        <v>162</v>
      </c>
      <c r="B174" s="80" t="s">
        <v>195</v>
      </c>
      <c r="C174" s="81"/>
      <c r="D174" s="82"/>
      <c r="E174" s="76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</row>
    <row r="175" spans="1:32">
      <c r="A175" s="79">
        <v>163</v>
      </c>
      <c r="B175" s="80" t="s">
        <v>196</v>
      </c>
      <c r="C175" s="81"/>
      <c r="D175" s="82"/>
      <c r="E175" s="76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</row>
    <row r="176" spans="1:32">
      <c r="A176" s="79">
        <v>164</v>
      </c>
      <c r="B176" s="80" t="s">
        <v>197</v>
      </c>
      <c r="C176" s="81"/>
      <c r="D176" s="82"/>
      <c r="E176" s="76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</row>
    <row r="177" spans="1:32">
      <c r="A177" s="79">
        <v>165</v>
      </c>
      <c r="B177" s="80" t="s">
        <v>198</v>
      </c>
      <c r="C177" s="81"/>
      <c r="D177" s="82"/>
      <c r="E177" s="76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</row>
    <row r="178" spans="1:32">
      <c r="A178" s="79">
        <v>166</v>
      </c>
      <c r="B178" s="80" t="s">
        <v>199</v>
      </c>
      <c r="C178" s="81"/>
      <c r="D178" s="82"/>
      <c r="E178" s="76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</row>
    <row r="179" spans="1:32">
      <c r="A179" s="79">
        <v>167</v>
      </c>
      <c r="B179" s="80" t="s">
        <v>200</v>
      </c>
      <c r="C179" s="81"/>
      <c r="D179" s="82"/>
      <c r="E179" s="76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</row>
    <row r="180" spans="1:32">
      <c r="A180" s="79">
        <v>168</v>
      </c>
      <c r="B180" s="80" t="s">
        <v>201</v>
      </c>
      <c r="C180" s="81"/>
      <c r="D180" s="82"/>
      <c r="E180" s="76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</row>
    <row r="181" spans="1:32">
      <c r="A181" s="79">
        <v>169</v>
      </c>
      <c r="B181" s="80" t="s">
        <v>202</v>
      </c>
      <c r="C181" s="81"/>
      <c r="D181" s="82"/>
      <c r="E181" s="76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</row>
    <row r="182" spans="1:32">
      <c r="A182" s="79">
        <v>170</v>
      </c>
      <c r="B182" s="80" t="s">
        <v>203</v>
      </c>
      <c r="C182" s="81"/>
      <c r="D182" s="82"/>
      <c r="E182" s="76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</row>
    <row r="183" spans="1:32">
      <c r="A183" s="79">
        <v>171</v>
      </c>
      <c r="B183" s="80" t="s">
        <v>204</v>
      </c>
      <c r="C183" s="81"/>
      <c r="D183" s="82"/>
      <c r="E183" s="76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</row>
    <row r="184" spans="1:32">
      <c r="A184" s="79">
        <v>172</v>
      </c>
      <c r="B184" s="80" t="s">
        <v>205</v>
      </c>
      <c r="C184" s="81"/>
      <c r="D184" s="82"/>
      <c r="E184" s="76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</row>
    <row r="185" spans="1:32">
      <c r="A185" s="79">
        <v>173</v>
      </c>
      <c r="B185" s="80" t="s">
        <v>206</v>
      </c>
      <c r="C185" s="81"/>
      <c r="D185" s="82"/>
      <c r="E185" s="76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</row>
    <row r="186" spans="1:32">
      <c r="A186" s="79">
        <v>174</v>
      </c>
      <c r="B186" s="80" t="s">
        <v>207</v>
      </c>
      <c r="C186" s="81"/>
      <c r="D186" s="82"/>
      <c r="E186" s="76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</row>
    <row r="187" spans="1:32">
      <c r="A187" s="79">
        <v>175</v>
      </c>
      <c r="B187" s="80" t="s">
        <v>208</v>
      </c>
      <c r="C187" s="81"/>
      <c r="D187" s="82"/>
      <c r="E187" s="76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</row>
    <row r="188" spans="1:32">
      <c r="A188" s="79">
        <v>176</v>
      </c>
      <c r="B188" s="80" t="s">
        <v>209</v>
      </c>
      <c r="C188" s="81"/>
      <c r="D188" s="82"/>
      <c r="E188" s="76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</row>
    <row r="189" spans="1:32" ht="15" customHeight="1">
      <c r="A189" s="79">
        <v>177</v>
      </c>
      <c r="B189" s="80" t="s">
        <v>210</v>
      </c>
      <c r="C189" s="81"/>
      <c r="D189" s="82"/>
      <c r="E189" s="76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</row>
    <row r="190" spans="1:32">
      <c r="A190" s="79">
        <v>178</v>
      </c>
      <c r="B190" s="80" t="s">
        <v>211</v>
      </c>
      <c r="C190" s="81"/>
      <c r="D190" s="82"/>
      <c r="E190" s="76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</row>
    <row r="191" spans="1:32">
      <c r="A191" s="79">
        <v>179</v>
      </c>
      <c r="B191" s="80" t="s">
        <v>212</v>
      </c>
      <c r="C191" s="81"/>
      <c r="D191" s="82"/>
      <c r="E191" s="76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</row>
    <row r="192" spans="1:32">
      <c r="A192" s="79">
        <v>180</v>
      </c>
      <c r="B192" s="80" t="s">
        <v>213</v>
      </c>
      <c r="C192" s="81"/>
      <c r="D192" s="82"/>
      <c r="E192" s="76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</row>
    <row r="193" spans="1:32">
      <c r="A193" s="79">
        <v>181</v>
      </c>
      <c r="B193" s="80" t="s">
        <v>214</v>
      </c>
      <c r="C193" s="81"/>
      <c r="D193" s="82"/>
      <c r="E193" s="76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</row>
    <row r="194" spans="1:32">
      <c r="A194" s="79">
        <v>182</v>
      </c>
      <c r="B194" s="80" t="s">
        <v>215</v>
      </c>
      <c r="C194" s="81"/>
      <c r="D194" s="82"/>
      <c r="E194" s="76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</row>
    <row r="195" spans="1:32">
      <c r="A195" s="79">
        <v>183</v>
      </c>
      <c r="B195" s="80" t="s">
        <v>216</v>
      </c>
      <c r="C195" s="81"/>
      <c r="D195" s="82"/>
      <c r="E195" s="76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</row>
    <row r="196" spans="1:32">
      <c r="A196" s="79">
        <v>184</v>
      </c>
      <c r="B196" s="80" t="s">
        <v>217</v>
      </c>
      <c r="C196" s="81"/>
      <c r="D196" s="82"/>
      <c r="E196" s="76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</row>
    <row r="197" spans="1:32">
      <c r="A197" s="79">
        <v>185</v>
      </c>
      <c r="B197" s="80" t="s">
        <v>218</v>
      </c>
      <c r="C197" s="81"/>
      <c r="D197" s="82"/>
      <c r="E197" s="76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</row>
    <row r="198" spans="1:32">
      <c r="A198" s="79">
        <v>186</v>
      </c>
      <c r="B198" s="80" t="s">
        <v>219</v>
      </c>
      <c r="C198" s="81"/>
      <c r="D198" s="82"/>
      <c r="E198" s="76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</row>
    <row r="199" spans="1:32">
      <c r="A199" s="79">
        <v>187</v>
      </c>
      <c r="B199" s="80" t="s">
        <v>220</v>
      </c>
      <c r="C199" s="81"/>
      <c r="D199" s="82"/>
      <c r="E199" s="76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</row>
    <row r="200" spans="1:32">
      <c r="A200" s="79">
        <v>188</v>
      </c>
      <c r="B200" s="80" t="s">
        <v>221</v>
      </c>
      <c r="C200" s="81"/>
      <c r="D200" s="82"/>
      <c r="E200" s="76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</row>
    <row r="201" spans="1:32">
      <c r="A201" s="79">
        <v>189</v>
      </c>
      <c r="B201" s="80" t="s">
        <v>222</v>
      </c>
      <c r="C201" s="81"/>
      <c r="D201" s="82"/>
      <c r="E201" s="76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</row>
    <row r="202" spans="1:32">
      <c r="A202" s="79">
        <v>190</v>
      </c>
      <c r="B202" s="80" t="s">
        <v>223</v>
      </c>
      <c r="C202" s="81"/>
      <c r="D202" s="82"/>
      <c r="E202" s="76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</row>
    <row r="203" spans="1:32">
      <c r="A203" s="79">
        <v>191</v>
      </c>
      <c r="B203" s="80" t="s">
        <v>224</v>
      </c>
      <c r="C203" s="81"/>
      <c r="D203" s="82"/>
      <c r="E203" s="76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</row>
    <row r="204" spans="1:32">
      <c r="A204" s="79">
        <v>192</v>
      </c>
      <c r="B204" s="80" t="s">
        <v>225</v>
      </c>
      <c r="C204" s="81"/>
      <c r="D204" s="82"/>
      <c r="E204" s="76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</row>
    <row r="205" spans="1:32">
      <c r="A205" s="79">
        <v>193</v>
      </c>
      <c r="B205" s="80" t="s">
        <v>226</v>
      </c>
      <c r="C205" s="81"/>
      <c r="D205" s="82"/>
      <c r="E205" s="76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</row>
    <row r="206" spans="1:32">
      <c r="A206" s="79">
        <v>194</v>
      </c>
      <c r="B206" s="80" t="s">
        <v>227</v>
      </c>
      <c r="C206" s="81"/>
      <c r="D206" s="82"/>
      <c r="E206" s="76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</row>
    <row r="207" spans="1:32">
      <c r="A207" s="79">
        <v>195</v>
      </c>
      <c r="B207" s="80" t="s">
        <v>228</v>
      </c>
      <c r="C207" s="81"/>
      <c r="D207" s="82"/>
      <c r="E207" s="76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</row>
    <row r="208" spans="1:32">
      <c r="A208" s="72"/>
      <c r="B208" s="72"/>
      <c r="E208" s="76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</row>
    <row r="209" spans="1:32">
      <c r="A209" s="72"/>
      <c r="B209" s="72"/>
      <c r="E209" s="76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</row>
  </sheetData>
  <sheetProtection algorithmName="SHA-512" hashValue="Pxm9+Fznd3QOOpoybqQL46av2gj5bMgWYs5ItkGh1Br+IIhR9paikwzPkGUoggDP01vzYLDPmSiAsqqUsckcCA==" saltValue="BrT3ZrNea9MnuPXOUzvcsg==" spinCount="100000" sheet="1" objects="1" scenarios="1"/>
  <mergeCells count="27">
    <mergeCell ref="O56:P56"/>
    <mergeCell ref="Q56:R56"/>
    <mergeCell ref="E56:F56"/>
    <mergeCell ref="G56:H56"/>
    <mergeCell ref="I56:J56"/>
    <mergeCell ref="K56:L56"/>
    <mergeCell ref="M56:N56"/>
    <mergeCell ref="U48:V48"/>
    <mergeCell ref="E52:F52"/>
    <mergeCell ref="G52:H52"/>
    <mergeCell ref="I52:J52"/>
    <mergeCell ref="K52:L52"/>
    <mergeCell ref="M52:N52"/>
    <mergeCell ref="O52:P52"/>
    <mergeCell ref="Q52:R52"/>
    <mergeCell ref="S52:T52"/>
    <mergeCell ref="U52:V52"/>
    <mergeCell ref="K48:L48"/>
    <mergeCell ref="M48:N48"/>
    <mergeCell ref="O48:P48"/>
    <mergeCell ref="Q48:R48"/>
    <mergeCell ref="S48:T48"/>
    <mergeCell ref="A11:D11"/>
    <mergeCell ref="A12:B12"/>
    <mergeCell ref="E48:F48"/>
    <mergeCell ref="G48:H48"/>
    <mergeCell ref="I48:J48"/>
  </mergeCell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9:S45"/>
  <sheetViews>
    <sheetView showGridLines="0" topLeftCell="A13" zoomScale="85" zoomScaleNormal="85" workbookViewId="0">
      <selection activeCell="M45" sqref="A10:M45"/>
    </sheetView>
  </sheetViews>
  <sheetFormatPr baseColWidth="10" defaultColWidth="9.140625" defaultRowHeight="15"/>
  <cols>
    <col min="1" max="1" width="3" style="23" customWidth="1"/>
    <col min="2" max="2" width="33.5703125" style="23" customWidth="1"/>
    <col min="3" max="3" width="9.85546875" style="23" customWidth="1"/>
    <col min="4" max="4" width="9" style="23" customWidth="1"/>
    <col min="5" max="7" width="9.140625" style="23" hidden="1" customWidth="1"/>
    <col min="8" max="8" width="12.5703125" style="23" hidden="1" customWidth="1"/>
    <col min="9" max="12" width="9.140625" style="23" hidden="1" customWidth="1"/>
    <col min="13" max="13" width="35.5703125" style="44" customWidth="1"/>
    <col min="14" max="14" width="2.85546875" style="23" customWidth="1"/>
    <col min="15" max="17" width="9.140625" style="23"/>
    <col min="18" max="18" width="23.7109375" style="23" customWidth="1"/>
    <col min="19" max="19" width="33.85546875" style="45" customWidth="1"/>
    <col min="20" max="16384" width="9.140625" style="23"/>
  </cols>
  <sheetData>
    <row r="9" spans="1:13">
      <c r="B9" s="46"/>
      <c r="C9" s="46"/>
    </row>
    <row r="10" spans="1:13" ht="18.75">
      <c r="A10" s="94" t="s">
        <v>229</v>
      </c>
      <c r="B10" s="95" t="s">
        <v>230</v>
      </c>
      <c r="C10" s="47" t="s">
        <v>231</v>
      </c>
      <c r="D10" s="48" t="s">
        <v>232</v>
      </c>
      <c r="E10" s="13"/>
      <c r="F10" s="49"/>
      <c r="G10" s="49"/>
      <c r="H10" s="49"/>
      <c r="I10" s="49"/>
      <c r="J10" s="49"/>
      <c r="K10" s="49"/>
      <c r="M10" s="69" t="s">
        <v>233</v>
      </c>
    </row>
    <row r="11" spans="1:13" ht="18.75">
      <c r="A11" s="50" t="s">
        <v>2</v>
      </c>
      <c r="B11" s="51" t="s">
        <v>234</v>
      </c>
      <c r="C11" s="52"/>
      <c r="D11" s="53">
        <f>APLICACION!E46</f>
        <v>0</v>
      </c>
      <c r="E11" s="54"/>
      <c r="F11" s="55"/>
      <c r="M11" s="70" t="str">
        <f>+IF(D11&gt;=2,"Prueba Invalido"," Prueba Valida")</f>
        <v xml:space="preserve"> Prueba Valida</v>
      </c>
    </row>
    <row r="12" spans="1:13" ht="18.75">
      <c r="A12" s="50" t="s">
        <v>235</v>
      </c>
      <c r="B12" s="51" t="s">
        <v>236</v>
      </c>
      <c r="C12" s="56"/>
      <c r="D12" s="57">
        <f>APLICACION!J60</f>
        <v>0</v>
      </c>
      <c r="E12" s="58"/>
      <c r="F12" s="55"/>
      <c r="M12" s="70" t="str">
        <f>+IF(D12&gt;=19,"Inconsistente"," Consistente")</f>
        <v xml:space="preserve"> Consistente</v>
      </c>
    </row>
    <row r="13" spans="1:13" ht="18.75">
      <c r="A13" s="50" t="s">
        <v>237</v>
      </c>
      <c r="B13" s="51" t="s">
        <v>238</v>
      </c>
      <c r="C13" s="59">
        <f>APLICACION!F63</f>
        <v>0</v>
      </c>
      <c r="D13" s="57">
        <f>VLOOKUP(C13,RESULTADOS!A3:B117,2,FALSE)</f>
        <v>0</v>
      </c>
      <c r="E13" s="58"/>
      <c r="M13" s="70" t="str" cm="1">
        <f t="array" ref="M13">+_xlfn.IFS(D13&lt;=19,"No es Suficienteme Sincero",D13&gt;19,"Sincero",D13&gt;114,"No es sincero")</f>
        <v>No es Suficienteme Sincero</v>
      </c>
    </row>
    <row r="14" spans="1:13" ht="18.75">
      <c r="A14" s="50" t="s">
        <v>239</v>
      </c>
      <c r="B14" s="51" t="s">
        <v>240</v>
      </c>
      <c r="C14" s="59">
        <f>APLICACION!F64</f>
        <v>0</v>
      </c>
      <c r="D14" s="57">
        <f>VLOOKUP(C14,RESULTADOS!A3:C27,3,FALSE)</f>
        <v>0</v>
      </c>
      <c r="E14" s="58"/>
      <c r="M14" s="70" t="str">
        <f>+IF(D14&gt;=75,"Tendencia a describirse de forma positiva","Se muestra Normal")</f>
        <v>Se muestra Normal</v>
      </c>
    </row>
    <row r="15" spans="1:13" ht="18.75">
      <c r="A15" s="50" t="s">
        <v>241</v>
      </c>
      <c r="B15" s="51" t="s">
        <v>242</v>
      </c>
      <c r="C15" s="60">
        <f>APLICACION!F65</f>
        <v>0</v>
      </c>
      <c r="D15" s="61">
        <f>VLOOKUP(CORRECCION!C15,RESULTADOS!A3:D33,4,FALSE)</f>
        <v>0</v>
      </c>
      <c r="E15" s="58"/>
      <c r="M15" s="70" t="str">
        <f>+IF(D15&gt;=19,"Inconsistente"," Consistente")</f>
        <v xml:space="preserve"> Consistente</v>
      </c>
    </row>
    <row r="16" spans="1:13">
      <c r="K16" s="71"/>
      <c r="L16" s="71"/>
      <c r="M16" s="45"/>
    </row>
    <row r="17" spans="1:13" s="43" customFormat="1" ht="23.25" customHeight="1">
      <c r="A17" s="96" t="s">
        <v>243</v>
      </c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</row>
    <row r="18" spans="1:13" s="43" customFormat="1" ht="23.25" customHeight="1">
      <c r="A18" s="50">
        <v>1</v>
      </c>
      <c r="B18" s="51" t="s">
        <v>244</v>
      </c>
      <c r="C18" s="62">
        <f>APLICACION!E17</f>
        <v>0</v>
      </c>
      <c r="D18" s="63">
        <f t="shared" ref="D18:D29" si="0">VLOOKUP(C18,TABLAPD,E18,FALSE)</f>
        <v>0</v>
      </c>
      <c r="E18" s="64">
        <v>3</v>
      </c>
      <c r="G18" s="58">
        <v>2</v>
      </c>
      <c r="H18" s="65">
        <f>IFERROR(VLOOKUP(D18,TABLAPER,G18,FALSE),"")</f>
        <v>2</v>
      </c>
      <c r="M18" s="50" t="str" cm="1">
        <f t="array" ref="M18">+_xlfn.IFS(D18&lt;60,"Normal",D18&lt;=61,"Riesgo",D18&lt;75,"Riesgo",D18&lt;=75,"Trastorno indicado",D18&lt;=85,"Trastorno indicado",D18&gt;86,"Riesgo Psiquiatrico")</f>
        <v>Normal</v>
      </c>
    </row>
    <row r="19" spans="1:13" s="43" customFormat="1" ht="23.25" customHeight="1">
      <c r="A19" s="50" t="s">
        <v>245</v>
      </c>
      <c r="B19" s="51" t="s">
        <v>246</v>
      </c>
      <c r="C19" s="57">
        <f>APLICACION!E18</f>
        <v>0</v>
      </c>
      <c r="D19" s="66">
        <f t="shared" si="0"/>
        <v>0</v>
      </c>
      <c r="E19" s="64">
        <v>4</v>
      </c>
      <c r="G19" s="58">
        <v>3</v>
      </c>
      <c r="H19" s="65">
        <f t="shared" ref="H19:H29" si="1">IFERROR(VLOOKUP(D19,TABLAPER,G19,FALSE),"")</f>
        <v>2</v>
      </c>
      <c r="M19" s="50" t="str" cm="1">
        <f t="array" ref="M19">+_xlfn.IFS(D19&lt;60,"Normal",D19&lt;=61,"Riesgo",D19&lt;75,"Riesgo",D19&lt;=75,"Trastorno indicado",D19&lt;=85,"Trastorno indicado",D19&gt;86,"Riesgo Psiquiatrico")</f>
        <v>Normal</v>
      </c>
    </row>
    <row r="20" spans="1:13" s="43" customFormat="1" ht="23.25" customHeight="1">
      <c r="A20" s="50" t="s">
        <v>247</v>
      </c>
      <c r="B20" s="51" t="s">
        <v>248</v>
      </c>
      <c r="C20" s="57">
        <f>APLICACION!E19</f>
        <v>0</v>
      </c>
      <c r="D20" s="66">
        <f t="shared" si="0"/>
        <v>0</v>
      </c>
      <c r="E20" s="64">
        <v>5</v>
      </c>
      <c r="G20" s="58">
        <v>4</v>
      </c>
      <c r="H20" s="65">
        <f t="shared" si="1"/>
        <v>5</v>
      </c>
      <c r="M20" s="50" t="str" cm="1">
        <f t="array" ref="M20">+_xlfn.IFS(D20&lt;60,"Normal",D20&lt;=61,"Riesgo",D20&lt;75,"Riesgo",D20&lt;=75,"Trastorno indicado",D20&lt;=85,"Trastorno indicado",D20&gt;86,"Riesgo Psiquiatrico")</f>
        <v>Normal</v>
      </c>
    </row>
    <row r="21" spans="1:13" s="43" customFormat="1" ht="23.25" customHeight="1">
      <c r="A21" s="50">
        <v>3</v>
      </c>
      <c r="B21" s="51" t="s">
        <v>249</v>
      </c>
      <c r="C21" s="57">
        <f>APLICACION!E20</f>
        <v>0</v>
      </c>
      <c r="D21" s="66">
        <f t="shared" si="0"/>
        <v>0</v>
      </c>
      <c r="E21" s="64">
        <v>6</v>
      </c>
      <c r="G21" s="58">
        <v>5</v>
      </c>
      <c r="H21" s="65">
        <f t="shared" si="1"/>
        <v>2</v>
      </c>
      <c r="M21" s="50" t="str" cm="1">
        <f t="array" ref="M21">+_xlfn.IFS(D21&lt;60,"Normal",D21&lt;=61,"Riesgo",D21&lt;75,"Riesgo",D21&lt;=75,"Trastorno indicado",D21&lt;=85,"Trastorno indicado",D21&gt;86,"Riesgo Psiquiatrico")</f>
        <v>Normal</v>
      </c>
    </row>
    <row r="22" spans="1:13" s="43" customFormat="1" ht="23.25" customHeight="1">
      <c r="A22" s="50" t="s">
        <v>250</v>
      </c>
      <c r="B22" s="51" t="s">
        <v>251</v>
      </c>
      <c r="C22" s="57">
        <f>APLICACION!E21</f>
        <v>0</v>
      </c>
      <c r="D22" s="66">
        <f t="shared" si="0"/>
        <v>0</v>
      </c>
      <c r="E22" s="64">
        <v>7</v>
      </c>
      <c r="G22" s="58">
        <v>6</v>
      </c>
      <c r="H22" s="65">
        <f t="shared" si="1"/>
        <v>4</v>
      </c>
      <c r="M22" s="50" t="str" cm="1">
        <f t="array" ref="M22">+_xlfn.IFS(D22&lt;60,"Normal",D22&lt;=61,"Riesgo",D22&lt;75,"Riesgo",D22&lt;=75,"Trastorno indicado",D22&lt;=85,"Trastorno indicado",D22&gt;86,"Riesgo Psiquiatrico")</f>
        <v>Normal</v>
      </c>
    </row>
    <row r="23" spans="1:13" s="43" customFormat="1" ht="23.25" customHeight="1">
      <c r="A23" s="50" t="s">
        <v>252</v>
      </c>
      <c r="B23" s="51" t="s">
        <v>253</v>
      </c>
      <c r="C23" s="57">
        <f>APLICACION!E22</f>
        <v>0</v>
      </c>
      <c r="D23" s="66">
        <f t="shared" si="0"/>
        <v>0</v>
      </c>
      <c r="E23" s="64">
        <v>8</v>
      </c>
      <c r="G23" s="58">
        <v>7</v>
      </c>
      <c r="H23" s="65">
        <f t="shared" si="1"/>
        <v>4</v>
      </c>
      <c r="M23" s="50" t="str" cm="1">
        <f t="array" ref="M23">+_xlfn.IFS(D23&lt;60,"Normal",D23&lt;=61,"Riesgo",D23&lt;75,"Riesgo",D23&lt;=75,"Trastorno indicado",D23&lt;=85,"Trastorno indicado",D23&gt;86,"Riesgo Psiquiatrico")</f>
        <v>Normal</v>
      </c>
    </row>
    <row r="24" spans="1:13" s="43" customFormat="1" ht="23.25" customHeight="1">
      <c r="A24" s="50">
        <v>5</v>
      </c>
      <c r="B24" s="51" t="s">
        <v>254</v>
      </c>
      <c r="C24" s="57">
        <f>APLICACION!E23</f>
        <v>0</v>
      </c>
      <c r="D24" s="66">
        <f t="shared" si="0"/>
        <v>0</v>
      </c>
      <c r="E24" s="64">
        <v>9</v>
      </c>
      <c r="G24" s="58">
        <v>8</v>
      </c>
      <c r="H24" s="65">
        <f t="shared" si="1"/>
        <v>10</v>
      </c>
      <c r="M24" s="50" t="str" cm="1">
        <f t="array" ref="M24">+_xlfn.IFS(D24&lt;60,"Normal",D24&lt;=61,"Riesgo",D24&lt;75,"Riesgo",D24&lt;=75,"Trastorno indicado",D24&lt;=85,"Trastorno indicado",D24&gt;86,"Riesgo Psiquiatrico")</f>
        <v>Normal</v>
      </c>
    </row>
    <row r="25" spans="1:13" s="43" customFormat="1" ht="23.25" customHeight="1">
      <c r="A25" s="50" t="s">
        <v>255</v>
      </c>
      <c r="B25" s="51" t="s">
        <v>256</v>
      </c>
      <c r="C25" s="57">
        <f>APLICACION!E24</f>
        <v>0</v>
      </c>
      <c r="D25" s="66">
        <f t="shared" si="0"/>
        <v>0</v>
      </c>
      <c r="E25" s="64">
        <v>10</v>
      </c>
      <c r="G25" s="58">
        <v>9</v>
      </c>
      <c r="H25" s="65">
        <f t="shared" si="1"/>
        <v>11</v>
      </c>
      <c r="M25" s="50" t="str" cm="1">
        <f t="array" ref="M25">+_xlfn.IFS(D25&lt;60,"Normal",D25&lt;=61,"Riesgo",D25&lt;75,"Riesgo",D25&lt;=75,"Trastorno indicado",D25&lt;=85,"Trastorno indicado",D25&gt;86,"Riesgo Psiquiatrico")</f>
        <v>Normal</v>
      </c>
    </row>
    <row r="26" spans="1:13" s="43" customFormat="1" ht="23.25" customHeight="1">
      <c r="A26" s="50" t="s">
        <v>257</v>
      </c>
      <c r="B26" s="51" t="s">
        <v>258</v>
      </c>
      <c r="C26" s="57">
        <f>APLICACION!E25</f>
        <v>0</v>
      </c>
      <c r="D26" s="66">
        <f t="shared" si="0"/>
        <v>0</v>
      </c>
      <c r="E26" s="64">
        <v>11</v>
      </c>
      <c r="G26" s="58">
        <v>10</v>
      </c>
      <c r="H26" s="65">
        <f t="shared" si="1"/>
        <v>6</v>
      </c>
      <c r="M26" s="50" t="str" cm="1">
        <f t="array" ref="M26">+_xlfn.IFS(D26&lt;60,"Normal",D26&lt;=61,"Riesgo",D26&lt;75,"Riesgo",D26&lt;=75,"Trastorno indicado",D26&lt;=85,"Trastorno indicado",D26&gt;86,"Riesgo Psiquiatrico")</f>
        <v>Normal</v>
      </c>
    </row>
    <row r="27" spans="1:13" s="43" customFormat="1" ht="21.75" customHeight="1">
      <c r="A27" s="50">
        <v>7</v>
      </c>
      <c r="B27" s="51" t="s">
        <v>259</v>
      </c>
      <c r="C27" s="57">
        <f>APLICACION!E26</f>
        <v>0</v>
      </c>
      <c r="D27" s="66">
        <f t="shared" si="0"/>
        <v>0</v>
      </c>
      <c r="E27" s="64">
        <v>12</v>
      </c>
      <c r="G27" s="58">
        <v>11</v>
      </c>
      <c r="H27" s="65">
        <f t="shared" si="1"/>
        <v>1</v>
      </c>
      <c r="M27" s="50" t="str" cm="1">
        <f t="array" ref="M27">+_xlfn.IFS(D27&lt;60,"Normal",D27&lt;=61,"Riesgo",D27&lt;75,"Riesgo",D27&lt;=75,"Trastorno indicado",D27&lt;=85,"Trastorno indicado",D27&gt;86,"Riesgo Psiquiatrico")</f>
        <v>Normal</v>
      </c>
    </row>
    <row r="28" spans="1:13" ht="21.75" customHeight="1">
      <c r="A28" s="50" t="s">
        <v>260</v>
      </c>
      <c r="B28" s="51" t="s">
        <v>261</v>
      </c>
      <c r="C28" s="57">
        <f>APLICACION!E27</f>
        <v>0</v>
      </c>
      <c r="D28" s="66">
        <f t="shared" si="0"/>
        <v>0</v>
      </c>
      <c r="E28" s="64">
        <v>13</v>
      </c>
      <c r="G28" s="58">
        <v>12</v>
      </c>
      <c r="H28" s="65">
        <f t="shared" si="1"/>
        <v>3</v>
      </c>
      <c r="M28" s="50" t="str" cm="1">
        <f t="array" ref="M28">+_xlfn.IFS(D28&lt;60,"Normal",D28&lt;=61,"Riesgo",D28&lt;75,"Riesgo",D28&lt;=75,"Trastorno indicado",D28&lt;=85,"Trastorno indicado",D28&gt;86,"Riesgo Psiquiatrico")</f>
        <v>Normal</v>
      </c>
    </row>
    <row r="29" spans="1:13" ht="21.75" customHeight="1">
      <c r="A29" s="50" t="s">
        <v>262</v>
      </c>
      <c r="B29" s="51" t="s">
        <v>263</v>
      </c>
      <c r="C29" s="61">
        <f>APLICACION!E28</f>
        <v>0</v>
      </c>
      <c r="D29" s="67">
        <f t="shared" si="0"/>
        <v>0</v>
      </c>
      <c r="E29" s="64">
        <v>14</v>
      </c>
      <c r="G29" s="58">
        <v>13</v>
      </c>
      <c r="H29" s="65">
        <f t="shared" si="1"/>
        <v>5</v>
      </c>
      <c r="M29" s="50" t="str" cm="1">
        <f t="array" ref="M29">+_xlfn.IFS(D29&lt;60,"Normal",D29&lt;=61,"Riesgo",D29&lt;75,"Riesgo",D29&lt;=75,"Trastorno indicado",D29&lt;=85,"Trastorno indicado",D29&gt;86,"Riesgo Psiquiatrico")</f>
        <v>Normal</v>
      </c>
    </row>
    <row r="30" spans="1:13" ht="21.75" customHeight="1">
      <c r="A30" s="96" t="s">
        <v>264</v>
      </c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</row>
    <row r="31" spans="1:13" ht="21.75" customHeight="1">
      <c r="A31" s="68" t="s">
        <v>265</v>
      </c>
      <c r="B31" s="51" t="s">
        <v>266</v>
      </c>
      <c r="C31" s="53">
        <f>APLICACION!E29</f>
        <v>0</v>
      </c>
      <c r="D31" s="63">
        <f>VLOOKUP(C31,TABLAPD,E31,FALSE)</f>
        <v>0</v>
      </c>
      <c r="E31" s="64">
        <v>15</v>
      </c>
      <c r="G31" s="58">
        <v>14</v>
      </c>
      <c r="H31" s="65">
        <f>IFERROR(VLOOKUP(D31,TABLAPER,G31,FALSE),"")</f>
        <v>4</v>
      </c>
      <c r="M31" s="50" t="str" cm="1">
        <f t="array" ref="M31">+_xlfn.IFS(D31&lt;60,"Normal",D31&lt;=61,"Riesgo",D31&lt;75,"Riesgo",D31&lt;=75,"Trastorno indicado",D31&lt;=84,"Trastorno indicado",D31&gt;84,"Riesgo Psiquiatrico")</f>
        <v>Normal</v>
      </c>
    </row>
    <row r="32" spans="1:13" ht="21.75" customHeight="1">
      <c r="A32" s="68" t="s">
        <v>267</v>
      </c>
      <c r="B32" s="51" t="s">
        <v>268</v>
      </c>
      <c r="C32" s="57">
        <f>APLICACION!E30</f>
        <v>0</v>
      </c>
      <c r="D32" s="66">
        <f>VLOOKUP(C32,TABLAPD,E32,FALSE)</f>
        <v>0</v>
      </c>
      <c r="E32" s="64">
        <v>16</v>
      </c>
      <c r="G32" s="58">
        <v>15</v>
      </c>
      <c r="H32" s="65">
        <f>IFERROR(VLOOKUP(D32,TABLAPER,G32,FALSE),"")</f>
        <v>4</v>
      </c>
      <c r="M32" s="50" t="str" cm="1">
        <f t="array" ref="M32">+_xlfn.IFS(D32&lt;60,"Normal",D32&lt;=61,"Riesgo",D32&lt;75,"Riesgo",D32&lt;=75,"Trastorno indicado",D32&lt;=84,"Trastorno indicado",D32&gt;84,"Riesgo Psiquiatrico")</f>
        <v>Normal</v>
      </c>
    </row>
    <row r="33" spans="1:13" ht="21.75" customHeight="1">
      <c r="A33" s="68" t="s">
        <v>269</v>
      </c>
      <c r="B33" s="51" t="s">
        <v>270</v>
      </c>
      <c r="C33" s="61">
        <f>APLICACION!E31</f>
        <v>0</v>
      </c>
      <c r="D33" s="67">
        <f>VLOOKUP(C33,TABLAPD,E33,FALSE)</f>
        <v>0</v>
      </c>
      <c r="E33" s="64">
        <v>17</v>
      </c>
      <c r="G33" s="58">
        <v>16</v>
      </c>
      <c r="H33" s="65">
        <f>IFERROR(VLOOKUP(D33,TABLAPER,G33,FALSE),"")</f>
        <v>7</v>
      </c>
      <c r="M33" s="50" t="str" cm="1">
        <f t="array" ref="M33">+_xlfn.IFS(D33&lt;60,"Normal",D33&lt;=61,"Riesgo",D33&lt;75,"Riesgo",D33&lt;=75,"Trastorno indicado",D33&lt;=84,"Trastorno indicado",D33&gt;84,"Riesgo Psiquiatrico")</f>
        <v>Normal</v>
      </c>
    </row>
    <row r="34" spans="1:13">
      <c r="L34" s="55"/>
      <c r="M34" s="45"/>
    </row>
    <row r="35" spans="1:13" ht="26.25" customHeight="1">
      <c r="A35" s="96" t="s">
        <v>271</v>
      </c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</row>
    <row r="36" spans="1:13" ht="21" customHeight="1">
      <c r="A36" s="50" t="s">
        <v>272</v>
      </c>
      <c r="B36" s="51" t="s">
        <v>273</v>
      </c>
      <c r="C36" s="53">
        <f>APLICACION!E35</f>
        <v>0</v>
      </c>
      <c r="D36" s="63">
        <f t="shared" ref="D36:D45" si="2">VLOOKUP(C36,TABLAPD,E36,FALSE)</f>
        <v>0</v>
      </c>
      <c r="E36" s="64">
        <v>18</v>
      </c>
      <c r="G36" s="58">
        <v>17</v>
      </c>
      <c r="H36" s="65">
        <f t="shared" ref="H36:H45" si="3">IFERROR(VLOOKUP(D36,TABLAPER,G36,FALSE),"")</f>
        <v>5</v>
      </c>
      <c r="M36" s="50" t="str" cm="1">
        <f t="array" ref="M36">+_xlfn.IFS(D36&lt;60,"Normal",D36&lt;=61,"Riesgo",D36&lt;75,"Riesgo",D36&lt;=75,"Trastorno indicado",D36&lt;=84,"Trastorno indicado",D36&gt;84,"Riesgo Psiquiatrico")</f>
        <v>Normal</v>
      </c>
    </row>
    <row r="37" spans="1:13" ht="21" customHeight="1">
      <c r="A37" s="50" t="s">
        <v>274</v>
      </c>
      <c r="B37" s="51" t="s">
        <v>275</v>
      </c>
      <c r="C37" s="57">
        <f>APLICACION!E36</f>
        <v>0</v>
      </c>
      <c r="D37" s="66">
        <f t="shared" si="2"/>
        <v>0</v>
      </c>
      <c r="E37" s="64">
        <v>19</v>
      </c>
      <c r="G37" s="58">
        <v>18</v>
      </c>
      <c r="H37" s="65">
        <f t="shared" si="3"/>
        <v>11</v>
      </c>
      <c r="M37" s="50" t="str" cm="1">
        <f t="array" ref="M37">+_xlfn.IFS(D37&lt;60,"Normal",D37&lt;=61,"Riesgo",D37&lt;75,"Riesgo",D37&lt;=75,"Trastorno indicado",D37&lt;=84,"Trastorno indicado",D37&gt;84,"Riesgo Psiquiatrico")</f>
        <v>Normal</v>
      </c>
    </row>
    <row r="38" spans="1:13" ht="21" customHeight="1">
      <c r="A38" s="50" t="s">
        <v>276</v>
      </c>
      <c r="B38" s="51" t="s">
        <v>277</v>
      </c>
      <c r="C38" s="57">
        <f>APLICACION!E37</f>
        <v>0</v>
      </c>
      <c r="D38" s="66">
        <f t="shared" si="2"/>
        <v>0</v>
      </c>
      <c r="E38" s="64">
        <v>20</v>
      </c>
      <c r="G38" s="58">
        <v>19</v>
      </c>
      <c r="H38" s="65">
        <f t="shared" si="3"/>
        <v>3</v>
      </c>
      <c r="M38" s="50" t="str" cm="1">
        <f t="array" ref="M38">+_xlfn.IFS(D38&lt;60,"Normal",D38&lt;=61,"Riesgo",D38&lt;75,"Riesgo",D38&lt;=75,"Trastorno indicado",D38&lt;=84,"Trastorno indicado",D38&gt;84,"Riesgo Psiquiatrico")</f>
        <v>Normal</v>
      </c>
    </row>
    <row r="39" spans="1:13" ht="21" customHeight="1">
      <c r="A39" s="50" t="s">
        <v>278</v>
      </c>
      <c r="B39" s="51" t="s">
        <v>279</v>
      </c>
      <c r="C39" s="57">
        <f>APLICACION!E38</f>
        <v>0</v>
      </c>
      <c r="D39" s="66">
        <f t="shared" si="2"/>
        <v>0</v>
      </c>
      <c r="E39" s="64">
        <v>21</v>
      </c>
      <c r="G39" s="58">
        <v>20</v>
      </c>
      <c r="H39" s="65">
        <f t="shared" si="3"/>
        <v>3</v>
      </c>
      <c r="M39" s="50" t="str" cm="1">
        <f t="array" ref="M39">+_xlfn.IFS(D39&lt;60,"Normal",D39&lt;=61,"Riesgo",D39&lt;75,"Riesgo",D39&lt;=75,"Trastorno indicado",D39&lt;=84,"Trastorno indicado",D39&gt;84,"Riesgo Psiquiatrico")</f>
        <v>Normal</v>
      </c>
    </row>
    <row r="40" spans="1:13" ht="21" customHeight="1">
      <c r="A40" s="50" t="s">
        <v>280</v>
      </c>
      <c r="B40" s="51" t="s">
        <v>281</v>
      </c>
      <c r="C40" s="57">
        <f>APLICACION!E39</f>
        <v>0</v>
      </c>
      <c r="D40" s="66">
        <f t="shared" si="2"/>
        <v>0</v>
      </c>
      <c r="E40" s="64">
        <v>22</v>
      </c>
      <c r="G40" s="58">
        <v>21</v>
      </c>
      <c r="H40" s="65">
        <f t="shared" si="3"/>
        <v>34</v>
      </c>
      <c r="M40" s="50" t="str" cm="1">
        <f t="array" ref="M40">+_xlfn.IFS(D40&lt;60,"Normal",D40&lt;=61,"Riesgo",D40&lt;75,"Riesgo",D40&lt;=75,"Trastorno indicado",D40&lt;=84,"Trastorno indicado",D40&gt;84,"Riesgo Psiquiatrico")</f>
        <v>Normal</v>
      </c>
    </row>
    <row r="41" spans="1:13" ht="21" customHeight="1">
      <c r="A41" s="50" t="s">
        <v>282</v>
      </c>
      <c r="B41" s="51" t="s">
        <v>283</v>
      </c>
      <c r="C41" s="57">
        <f>APLICACION!E40</f>
        <v>0</v>
      </c>
      <c r="D41" s="66">
        <f t="shared" si="2"/>
        <v>0</v>
      </c>
      <c r="E41" s="64">
        <v>23</v>
      </c>
      <c r="G41" s="58">
        <v>22</v>
      </c>
      <c r="H41" s="65">
        <f t="shared" si="3"/>
        <v>24</v>
      </c>
      <c r="M41" s="50" t="str" cm="1">
        <f t="array" ref="M41">+_xlfn.IFS(D41&lt;60,"Normal",D41&lt;=61,"Riesgo",D41&lt;75,"Riesgo",D41&lt;=75,"Trastorno indicado",D41&lt;=84,"Trastorno indicado",D41&gt;84,"Riesgo Psiquiatrico")</f>
        <v>Normal</v>
      </c>
    </row>
    <row r="42" spans="1:13" ht="21" customHeight="1">
      <c r="A42" s="50" t="s">
        <v>284</v>
      </c>
      <c r="B42" s="51" t="s">
        <v>285</v>
      </c>
      <c r="C42" s="57">
        <f>APLICACION!E41</f>
        <v>0</v>
      </c>
      <c r="D42" s="66">
        <f t="shared" si="2"/>
        <v>0</v>
      </c>
      <c r="E42" s="64">
        <v>24</v>
      </c>
      <c r="G42" s="58">
        <v>23</v>
      </c>
      <c r="H42" s="65">
        <f t="shared" si="3"/>
        <v>8</v>
      </c>
      <c r="M42" s="50" t="str" cm="1">
        <f t="array" ref="M42">+_xlfn.IFS(D42&lt;60,"Normal",D42&lt;=61,"Riesgo",D42&lt;75,"Riesgo",D42&lt;=75,"Trastorno indicado",D42&lt;=84,"Trastorno indicado",D42&gt;84,"Riesgo Psiquiatrico")</f>
        <v>Normal</v>
      </c>
    </row>
    <row r="43" spans="1:13" ht="21" customHeight="1">
      <c r="A43" s="68" t="s">
        <v>286</v>
      </c>
      <c r="B43" s="51" t="s">
        <v>287</v>
      </c>
      <c r="C43" s="57">
        <f>APLICACION!E42</f>
        <v>0</v>
      </c>
      <c r="D43" s="66">
        <f t="shared" si="2"/>
        <v>0</v>
      </c>
      <c r="E43" s="64">
        <v>25</v>
      </c>
      <c r="G43" s="58">
        <v>24</v>
      </c>
      <c r="H43" s="65">
        <f t="shared" si="3"/>
        <v>3</v>
      </c>
      <c r="M43" s="50" t="str" cm="1">
        <f t="array" ref="M43">+_xlfn.IFS(D43&lt;60,"Normal",D43&lt;=61,"Riesgo",D43&lt;75,"Riesgo",D43&lt;=75,"Trastorno indicado",D43&lt;=84,"Trastorno indicado",D43&gt;84,"Riesgo Psiquiatrico")</f>
        <v>Normal</v>
      </c>
    </row>
    <row r="44" spans="1:13" ht="21" customHeight="1">
      <c r="A44" s="68" t="s">
        <v>288</v>
      </c>
      <c r="B44" s="51" t="s">
        <v>289</v>
      </c>
      <c r="C44" s="57">
        <f>APLICACION!E43</f>
        <v>0</v>
      </c>
      <c r="D44" s="66">
        <f t="shared" si="2"/>
        <v>0</v>
      </c>
      <c r="E44" s="64">
        <v>26</v>
      </c>
      <c r="G44" s="58">
        <v>25</v>
      </c>
      <c r="H44" s="65">
        <f t="shared" si="3"/>
        <v>13</v>
      </c>
      <c r="M44" s="50" t="str" cm="1">
        <f t="array" ref="M44">+_xlfn.IFS(D44&lt;60,"Normal",D44&lt;=61,"Riesgo",D44&lt;75,"Riesgo",D44&lt;=75,"Trastorno indicado",D44&lt;=84,"Trastorno indicado",D44&gt;84,"Riesgo Psiquiatrico")</f>
        <v>Normal</v>
      </c>
    </row>
    <row r="45" spans="1:13" ht="21" customHeight="1">
      <c r="A45" s="68" t="s">
        <v>290</v>
      </c>
      <c r="B45" s="51" t="s">
        <v>291</v>
      </c>
      <c r="C45" s="61">
        <f>APLICACION!E44</f>
        <v>0</v>
      </c>
      <c r="D45" s="67">
        <f t="shared" si="2"/>
        <v>0</v>
      </c>
      <c r="E45" s="64">
        <v>27</v>
      </c>
      <c r="G45" s="58">
        <v>26</v>
      </c>
      <c r="H45" s="65">
        <f t="shared" si="3"/>
        <v>17</v>
      </c>
      <c r="M45" s="50" t="str" cm="1">
        <f t="array" ref="M45">+_xlfn.IFS(D45&lt;60,"Normal",D45&lt;=61,"Riesgo",D45&lt;75,"Riesgo",D45&lt;=75,"Trastorno indicado",D45&lt;=84,"Trastorno indicado",D45&gt;84,"Riesgo Psiquiatrico")</f>
        <v>Normal</v>
      </c>
    </row>
  </sheetData>
  <sheetProtection algorithmName="SHA-512" hashValue="ET/6TtljHFDF1BiXJpoGjZVzD0p2qMhzSVmL4iDHtcFKxo4diRFzVc9TVCDB9McZssD0Cn5h38TPAWl32REhUQ==" saltValue="bAh2e4hVERSVoupDUCdTZg==" spinCount="100000" sheet="1" objects="1" scenarios="1"/>
  <mergeCells count="4">
    <mergeCell ref="A10:B10"/>
    <mergeCell ref="A17:M17"/>
    <mergeCell ref="A30:M30"/>
    <mergeCell ref="A35:M35"/>
  </mergeCells>
  <pageMargins left="0.25" right="0.25" top="0.75" bottom="0.75" header="0.3" footer="0.3"/>
  <pageSetup paperSize="5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6:E67"/>
  <sheetViews>
    <sheetView showGridLines="0" topLeftCell="A4" zoomScale="106" zoomScaleNormal="106" workbookViewId="0">
      <selection activeCell="E66" sqref="A6:E66"/>
    </sheetView>
  </sheetViews>
  <sheetFormatPr baseColWidth="10" defaultColWidth="9.140625" defaultRowHeight="15"/>
  <cols>
    <col min="1" max="1" width="4.140625" style="23" customWidth="1"/>
    <col min="2" max="2" width="33.28515625" style="23" customWidth="1"/>
    <col min="3" max="3" width="9.140625" style="23" hidden="1" customWidth="1"/>
    <col min="4" max="4" width="9.140625" style="23"/>
    <col min="5" max="5" width="24.28515625" style="23" customWidth="1"/>
    <col min="6" max="6" width="9.140625" style="23"/>
    <col min="7" max="8" width="9.140625" style="23" customWidth="1"/>
    <col min="9" max="9" width="9.140625" style="23"/>
    <col min="10" max="10" width="9.140625" style="23" customWidth="1"/>
    <col min="11" max="16384" width="9.140625" style="23"/>
  </cols>
  <sheetData>
    <row r="6" spans="1:5">
      <c r="A6" s="97" t="s">
        <v>243</v>
      </c>
      <c r="B6" s="97"/>
      <c r="C6" s="24" t="s">
        <v>231</v>
      </c>
      <c r="D6" s="25" t="s">
        <v>232</v>
      </c>
      <c r="E6" s="26" t="s">
        <v>292</v>
      </c>
    </row>
    <row r="7" spans="1:5">
      <c r="A7" s="27">
        <v>1</v>
      </c>
      <c r="B7" s="28" t="s">
        <v>244</v>
      </c>
      <c r="C7" s="29"/>
      <c r="D7" s="30">
        <f>CORRECCION!D18</f>
        <v>0</v>
      </c>
      <c r="E7" s="25" t="str" cm="1">
        <f t="array" ref="E7">+_xlfn.IFS(D7&lt;60,"Normal",D7&lt;=61,"Riesgo",D7&lt;75,"Riesgo",D7&lt;=75,"Trastorno indicado",D7&lt;=84,"Trastorno indicado",D7&gt;=85,"Riesgo Psiquiatrico")</f>
        <v>Normal</v>
      </c>
    </row>
    <row r="8" spans="1:5" s="22" customFormat="1">
      <c r="A8" s="31">
        <v>1.1000000000000001</v>
      </c>
      <c r="B8" s="21" t="s">
        <v>293</v>
      </c>
      <c r="C8" s="32">
        <f>APLICACION!C24+APLICACION!C27+APLICACION!C36+APLICACION!C116+APLICACION!C161+APLICACION!D166+APLICACION!C192+APLICACION!D197+APLICACION!C202</f>
        <v>0</v>
      </c>
      <c r="D8" s="32">
        <f>IF(C8=0,'PERCENTIL GROSSMAN'!B3,IF(C8=1,'PERCENTIL GROSSMAN'!D3,IF(C8=2,'PERCENTIL GROSSMAN'!F3,IF(C8=3,'PERCENTIL GROSSMAN'!H3,IF(C8=4,'PERCENTIL GROSSMAN'!J3,IF(C8=5,'PERCENTIL GROSSMAN'!L3,IF(C8=6,'PERCENTIL GROSSMAN'!N3,IF(C8=7,'PERCENTIL GROSSMAN'!P3,IF(C8=8,'PERCENTIL GROSSMAN'!R3,IF(C8=9,'PERCENTIL GROSSMAN'!T3))))))))))</f>
        <v>0</v>
      </c>
      <c r="E8" s="33" t="str" cm="1">
        <f t="array" ref="E8">+_xlfn.IFS(D8&lt;60,"Normal",D8&lt;=61,"Riesgo",D8&lt;75,"Riesgo",D8&lt;=75,"Trastorno indicado",D8&lt;=84,"Trastorno indicado",D8&gt;=85,"Riesgo Psiquiatrico")</f>
        <v>Normal</v>
      </c>
    </row>
    <row r="9" spans="1:5" s="22" customFormat="1">
      <c r="A9" s="31">
        <v>1.2</v>
      </c>
      <c r="B9" s="21" t="s">
        <v>294</v>
      </c>
      <c r="C9" s="32">
        <f>APLICACION!C38+APLICACION!D42+APLICACION!D58+APLICACION!D79+APLICACION!C111+APLICACION!C151+APLICACION!C187+APLICACION!D190+APLICACION!C207</f>
        <v>0</v>
      </c>
      <c r="D9" s="32">
        <f>IF(C9=0,'PERCENTIL GROSSMAN'!B4,IF(C9=1,'PERCENTIL GROSSMAN'!D4,IF(C9=2,'PERCENTIL GROSSMAN'!F4,IF(C9=3,'PERCENTIL GROSSMAN'!H4,IF(C9=4,'PERCENTIL GROSSMAN'!J4,IF(C9=5,'PERCENTIL GROSSMAN'!L4,IF(C9=6,'PERCENTIL GROSSMAN'!N4,IF(C9=7,'PERCENTIL GROSSMAN'!P4,IF(C9=8,'PERCENTIL GROSSMAN'!R4,IF(C9=9,'PERCENTIL GROSSMAN'!T4))))))))))</f>
        <v>0</v>
      </c>
      <c r="E9" s="33" t="str" cm="1">
        <f t="array" ref="E9">+_xlfn.IFS(D9&lt;60,"Normal",D9&lt;=61,"Riesgo",D9&lt;75,"Riesgo",D9&lt;=75,"Trastorno indicado",D9&lt;=84,"Trastorno indicado",D9&gt;=85,"Riesgo Psiquiatrico")</f>
        <v>Normal</v>
      </c>
    </row>
    <row r="10" spans="1:5" s="22" customFormat="1">
      <c r="A10" s="31">
        <v>1.3</v>
      </c>
      <c r="B10" s="21" t="s">
        <v>295</v>
      </c>
      <c r="C10" s="32">
        <f>APLICACION!C39+APLICACION!D43+APLICACION!D59+APLICACION!D80+APLICACION!C112+APLICACION!C152+APLICACION!C188+APLICACION!D191+APLICACION!C208</f>
        <v>0</v>
      </c>
      <c r="D10" s="32">
        <f>IF(C10=0,'PERCENTIL GROSSMAN'!B5,IF(C10=1,'PERCENTIL GROSSMAN'!D5,IF(C10=2,'PERCENTIL GROSSMAN'!F5,IF(C10=3,'PERCENTIL GROSSMAN'!H5,IF(C10=4,'PERCENTIL GROSSMAN'!J5,IF(C10=5,'PERCENTIL GROSSMAN'!L5,IF(C10=6,'PERCENTIL GROSSMAN'!N5,IF(C10=7,'PERCENTIL GROSSMAN'!P5,IF(C10=8,'PERCENTIL GROSSMAN'!R5,IF(C10=9,'PERCENTIL GROSSMAN'!T5))))))))))</f>
        <v>0</v>
      </c>
      <c r="E10" s="33" t="str" cm="1">
        <f t="array" ref="E10">+_xlfn.IFS(D10&lt;60,"Normal",D10&lt;=61,"Riesgo",D10&lt;75,"Riesgo",D10&lt;=75,"Trastorno indicado",D10&lt;=84,"Trastorno indicado",D10&gt;=85,"Riesgo Psiquiatrico")</f>
        <v>Normal</v>
      </c>
    </row>
    <row r="11" spans="1:5">
      <c r="A11" s="27" t="s">
        <v>245</v>
      </c>
      <c r="B11" s="34" t="s">
        <v>246</v>
      </c>
      <c r="C11" s="35"/>
      <c r="D11" s="30">
        <f>CORRECCION!D19</f>
        <v>0</v>
      </c>
      <c r="E11" s="25" t="str" cm="1">
        <f t="array" ref="E11">+_xlfn.IFS(D11&lt;60,"Normal",D11&lt;=61,"Riesgo",D11&lt;75,"Riesgo",D11&lt;=75,"Trastorno indicado",D11&lt;=84,"Trastorno indicado",D11&gt;=85,"Riesgo Psiquiatrico")</f>
        <v>Normal</v>
      </c>
    </row>
    <row r="12" spans="1:5" s="22" customFormat="1">
      <c r="A12" s="31" t="s">
        <v>296</v>
      </c>
      <c r="B12" s="36" t="s">
        <v>297</v>
      </c>
      <c r="C12" s="32">
        <f>APLICACION!C27+APLICACION!C38+APLICACION!D42+APLICACION!D58+APLICACION!D96+APLICACION!C111+APLICACION!C151+APLICACION!D166</f>
        <v>0</v>
      </c>
      <c r="D12" s="32">
        <f>IF(C12=0,'PERCENTIL GROSSMAN'!B6,IF(C12=1,'PERCENTIL GROSSMAN'!D6,IF(C12=2,'PERCENTIL GROSSMAN'!F6,IF(C12=3,'PERCENTIL GROSSMAN'!H6,IF(C12=4,'PERCENTIL GROSSMAN'!J6,IF(C12=5,'PERCENTIL GROSSMAN'!L6,IF(C12=6,'PERCENTIL GROSSMAN'!N6,IF(C12=7,'PERCENTIL GROSSMAN'!P6,IF(C12=8,'PERCENTIL GROSSMAN'!R6,IF(C12=9,'PERCENTIL GROSSMAN'!T6))))))))))</f>
        <v>0</v>
      </c>
      <c r="E12" s="33" t="str" cm="1">
        <f t="array" ref="E12">+_xlfn.IFS(D12&lt;60,"Normal",D12&lt;=61,"Riesgo",D12&lt;75,"Riesgo",D12&lt;=75,"Trastorno indicado",D12&lt;=84,"Trastorno indicado",D12&gt;=85,"Riesgo Psiquiatrico")</f>
        <v>Normal</v>
      </c>
    </row>
    <row r="13" spans="1:5" s="22" customFormat="1">
      <c r="A13" s="31" t="s">
        <v>298</v>
      </c>
      <c r="B13" s="21" t="s">
        <v>299</v>
      </c>
      <c r="C13" s="32">
        <f>APLICACION!C35+APLICACION!C70+APLICACION!D79+APLICACION!C123+APLICACION!C147+APLICACION!C168+APLICACION!C190+APLICACION!C204+APLICACION!C205</f>
        <v>0</v>
      </c>
      <c r="D13" s="32">
        <f>IF(C13=0,'PERCENTIL GROSSMAN'!B7,IF(C13=1,'PERCENTIL GROSSMAN'!D7,IF(C13=2,'PERCENTIL GROSSMAN'!F7,IF(C13=3,'PERCENTIL GROSSMAN'!H7,IF(C13=4,'PERCENTIL GROSSMAN'!J7,IF(C13=5,'PERCENTIL GROSSMAN'!L7,IF(C13=6,'PERCENTIL GROSSMAN'!N7,IF(C13=7,'PERCENTIL GROSSMAN'!P7,IF(C13=8,'PERCENTIL GROSSMAN'!R7,IF(C13=9,'PERCENTIL GROSSMAN'!T7))))))))))</f>
        <v>0</v>
      </c>
      <c r="E13" s="33" t="str" cm="1">
        <f t="array" ref="E13">+_xlfn.IFS(D13&lt;60,"Normal",D13&lt;=61,"Riesgo",D13&lt;75,"Riesgo",D13&lt;=75,"Trastorno indicado",D13&lt;=84,"Trastorno indicado",D13&gt;=85,"Riesgo Psiquiatrico")</f>
        <v>Normal</v>
      </c>
    </row>
    <row r="14" spans="1:5" s="22" customFormat="1">
      <c r="A14" s="31" t="s">
        <v>300</v>
      </c>
      <c r="B14" s="21" t="s">
        <v>301</v>
      </c>
      <c r="C14" s="32">
        <f>APLICACION!D17+APLICACION!C24+APLICACION!C36+APLICACION!C64+APLICACION!C104+APLICACION!C105+APLICACION!C124+APLICACION!C196+APLICACION!C207</f>
        <v>0</v>
      </c>
      <c r="D14" s="32">
        <f>IF(C14=0,'PERCENTIL GROSSMAN'!B8,IF(C14=1,'PERCENTIL GROSSMAN'!D8,IF(C14=2,'PERCENTIL GROSSMAN'!F8,IF(C14=3,'PERCENTIL GROSSMAN'!H8,IF(C14=4,'PERCENTIL GROSSMAN'!J8,IF(C14=5,'PERCENTIL GROSSMAN'!L8,IF(C14=6,'PERCENTIL GROSSMAN'!N8,IF(C14=7,'PERCENTIL GROSSMAN'!P8,IF(C14=8,'PERCENTIL GROSSMAN'!R8,IF(C14=9,'PERCENTIL GROSSMAN'!T8))))))))))</f>
        <v>0</v>
      </c>
      <c r="E14" s="33" t="str" cm="1">
        <f t="array" ref="E14">+_xlfn.IFS(D14&lt;60,"Normal",D14&lt;=61,"Riesgo",D14&lt;75,"Riesgo",D14&lt;=75,"Trastorno indicado",D14&lt;=84,"Trastorno indicado",D14&gt;=85,"Riesgo Psiquiatrico")</f>
        <v>Normal</v>
      </c>
    </row>
    <row r="15" spans="1:5">
      <c r="A15" s="27" t="s">
        <v>247</v>
      </c>
      <c r="B15" s="34" t="s">
        <v>248</v>
      </c>
      <c r="C15" s="35"/>
      <c r="D15" s="30">
        <f>CORRECCION!D20</f>
        <v>0</v>
      </c>
      <c r="E15" s="25" t="str" cm="1">
        <f t="array" ref="E15">+_xlfn.IFS(D15&lt;60,"Normal",D15&lt;=61,"Riesgo",D15&lt;75,"Riesgo",D15&lt;=75,"Trastorno indicado",D15&lt;=84,"Trastorno indicado",D15&gt;=85,"Riesgo Psiquiatrico")</f>
        <v>Normal</v>
      </c>
    </row>
    <row r="16" spans="1:5" s="22" customFormat="1">
      <c r="A16" s="31" t="s">
        <v>302</v>
      </c>
      <c r="B16" s="37" t="s">
        <v>303</v>
      </c>
      <c r="C16" s="32">
        <f>APLICACION!C29+APLICACION!C35+APLICACION!C45+APLICACION!C63+APLICACION!C64+APLICACION!C83+APLICACION!C101+APLICACION!C138+APLICACION!C196</f>
        <v>0</v>
      </c>
      <c r="D16" s="32">
        <f>IF(C16=0,'PERCENTIL GROSSMAN'!B9,IF(C16=1,'PERCENTIL GROSSMAN'!D9,IF(C16=2,'PERCENTIL GROSSMAN'!F9,IF(C16=3,'PERCENTIL GROSSMAN'!H9,IF(C16=4,'PERCENTIL GROSSMAN'!J9,IF(C16=5,'PERCENTIL GROSSMAN'!L9,IF(C16=6,'PERCENTIL GROSSMAN'!N9,IF(C16=7,'PERCENTIL GROSSMAN'!P9,IF(C16=8,'PERCENTIL GROSSMAN'!R9,IF(C16=9,'PERCENTIL GROSSMAN'!T9))))))))))</f>
        <v>0</v>
      </c>
      <c r="E16" s="33" t="str" cm="1">
        <f t="array" ref="E16">+_xlfn.IFS(D16&lt;60,"Normal",D16&lt;=61,"Riesgo",D16&lt;75,"Riesgo",D16&lt;=75,"Trastorno indicado",D16&lt;=84,"Trastorno indicado",D16&gt;=85,"Riesgo Psiquiatrico")</f>
        <v>Normal</v>
      </c>
    </row>
    <row r="17" spans="1:5" s="22" customFormat="1">
      <c r="A17" s="31" t="s">
        <v>304</v>
      </c>
      <c r="B17" s="37" t="s">
        <v>305</v>
      </c>
      <c r="C17" s="32">
        <f>APLICACION!C51+APLICACION!C71+APLICACION!C105+APLICACION!C124+APLICACION!C181+APLICACION!C187+APLICACION!C190+APLICACION!C204+APLICACION!C207</f>
        <v>0</v>
      </c>
      <c r="D17" s="32">
        <f>IF(C17=0,'PERCENTIL GROSSMAN'!B10,IF(C17=1,'PERCENTIL GROSSMAN'!D10,IF(C17=2,'PERCENTIL GROSSMAN'!F10,IF(C17=3,'PERCENTIL GROSSMAN'!H10,IF(C17=4,'PERCENTIL GROSSMAN'!J10,IF(C17=5,'PERCENTIL GROSSMAN'!L10,IF(C17=6,'PERCENTIL GROSSMAN'!N10,IF(C17=7,'PERCENTIL GROSSMAN'!P10,IF(C17=8,'PERCENTIL GROSSMAN'!R10,IF(C17=9,'PERCENTIL GROSSMAN'!T10))))))))))</f>
        <v>0</v>
      </c>
      <c r="E17" s="33" t="str" cm="1">
        <f t="array" ref="E17">+_xlfn.IFS(D17&lt;60,"Normal",D17&lt;=61,"Riesgo",D17&lt;75,"Riesgo",D17&lt;=75,"Trastorno indicado",D17&lt;=84,"Trastorno indicado",D17&gt;=85,"Riesgo Psiquiatrico")</f>
        <v>Normal</v>
      </c>
    </row>
    <row r="18" spans="1:5" s="22" customFormat="1">
      <c r="A18" s="31" t="s">
        <v>306</v>
      </c>
      <c r="B18" s="37" t="s">
        <v>307</v>
      </c>
      <c r="C18" s="32">
        <f>APLICACION!C34+APLICACION!D65+APLICACION!C82+APLICACION!C102+APLICACION!C113+APLICACION!C119+APLICACION!C123+APLICACION!C182+APLICACION!C205</f>
        <v>0</v>
      </c>
      <c r="D18" s="32">
        <f>IF(C18=0,'PERCENTIL GROSSMAN'!B11,IF(C18=1,'PERCENTIL GROSSMAN'!D11,IF(C18=2,'PERCENTIL GROSSMAN'!F11,IF(C18=3,'PERCENTIL GROSSMAN'!H11,IF(C18=4,'PERCENTIL GROSSMAN'!J11,IF(C18=5,'PERCENTIL GROSSMAN'!L11,IF(C18=6,'PERCENTIL GROSSMAN'!N11,IF(C18=7,'PERCENTIL GROSSMAN'!P11,IF(C18=8,'PERCENTIL GROSSMAN'!R11,IF(C18=9,'PERCENTIL GROSSMAN'!T11))))))))))</f>
        <v>0</v>
      </c>
      <c r="E18" s="33" t="str" cm="1">
        <f t="array" ref="E18">+_xlfn.IFS(D18&lt;60,"Normal",D18&lt;=61,"Riesgo",D18&lt;75,"Riesgo",D18&lt;=75,"Trastorno indicado",D18&lt;=84,"Trastorno indicado",D18&gt;=85,"Riesgo Psiquiatrico")</f>
        <v>Normal</v>
      </c>
    </row>
    <row r="19" spans="1:5">
      <c r="A19" s="27">
        <v>3</v>
      </c>
      <c r="B19" s="34" t="s">
        <v>249</v>
      </c>
      <c r="C19" s="35"/>
      <c r="D19" s="30">
        <f>CORRECCION!D21</f>
        <v>0</v>
      </c>
      <c r="E19" s="25" t="str" cm="1">
        <f t="array" ref="E19">+_xlfn.IFS(D19&lt;60,"Normal",D19&lt;=61,"Riesgo",D19&lt;75,"Riesgo",D19&lt;=75,"Trastorno indicado",D19&lt;=84,"Trastorno indicado",D19&gt;=85,"Riesgo Psiquiatrico")</f>
        <v>Normal</v>
      </c>
    </row>
    <row r="20" spans="1:5" s="22" customFormat="1">
      <c r="A20" s="31">
        <v>3.1</v>
      </c>
      <c r="B20" s="37" t="s">
        <v>308</v>
      </c>
      <c r="C20" s="32">
        <f>APLICACION!C16+APLICACION!C17+APLICACION!C35+APLICACION!C63+APLICACION!C84+APLICACION!C111+APLICACION!C121+APLICACION!C147+APLICACION!C196</f>
        <v>0</v>
      </c>
      <c r="D20" s="32">
        <f>IF(C20=0,'PERCENTIL GROSSMAN'!B12,IF(C20=1,'PERCENTIL GROSSMAN'!D12,IF(C20=2,'PERCENTIL GROSSMAN'!F12,IF(C20=3,'PERCENTIL GROSSMAN'!H12,IF(C20=4,'PERCENTIL GROSSMAN'!J12,IF(C20=5,'PERCENTIL GROSSMAN'!L12,IF(C20=6,'PERCENTIL GROSSMAN'!N12,IF(C20=7,'PERCENTIL GROSSMAN'!P12,IF(C20=8,'PERCENTIL GROSSMAN'!R12,IF(C20=9,'PERCENTIL GROSSMAN'!T12))))))))))</f>
        <v>0</v>
      </c>
      <c r="E20" s="33" t="str" cm="1">
        <f t="array" ref="E20">+_xlfn.IFS(D20&lt;60,"Normal",D20&lt;=61,"Riesgo",D20&lt;75,"Riesgo",D20&lt;=75,"Trastorno indicado",D20&lt;=84,"Trastorno indicado",D20&gt;=85,"Riesgo Psiquiatrico")</f>
        <v>Normal</v>
      </c>
    </row>
    <row r="21" spans="1:5" s="22" customFormat="1">
      <c r="A21" s="31">
        <v>3.2</v>
      </c>
      <c r="B21" s="37" t="s">
        <v>309</v>
      </c>
      <c r="C21" s="32">
        <f>APLICACION!C38+APLICACION!C72+APLICACION!C174+APLICACION!C181+APLICACION!C185+APLICACION!C197+APLICACION!C206</f>
        <v>0</v>
      </c>
      <c r="D21" s="32">
        <f>IF(C21=0,'PERCENTIL GROSSMAN'!B13,IF(C21=1,'PERCENTIL GROSSMAN'!D13,IF(C21=2,'PERCENTIL GROSSMAN'!F13,IF(C21=3,'PERCENTIL GROSSMAN'!H13,IF(C21=4,'PERCENTIL GROSSMAN'!J13,IF(C21=5,'PERCENTIL GROSSMAN'!L13,IF(C21=6,'PERCENTIL GROSSMAN'!N13,IF(C21=7,'PERCENTIL GROSSMAN'!P13,IF(C21=8,'PERCENTIL GROSSMAN'!R13,IF(C21=9,'PERCENTIL GROSSMAN'!T13))))))))))</f>
        <v>0</v>
      </c>
      <c r="E21" s="33" t="str" cm="1">
        <f t="array" ref="E21">+_xlfn.IFS(D21&lt;60,"Normal",D21&lt;=61,"Riesgo",D21&lt;75,"Riesgo",D21&lt;=75,"Trastorno indicado",D21&lt;=84,"Trastorno indicado",D21&gt;=85,"Riesgo Psiquiatrico")</f>
        <v>Normal</v>
      </c>
    </row>
    <row r="22" spans="1:5" s="22" customFormat="1">
      <c r="A22" s="31">
        <v>3.3</v>
      </c>
      <c r="B22" s="37" t="s">
        <v>310</v>
      </c>
      <c r="C22" s="32">
        <f>APLICACION!C54+APLICACION!D65+APLICACION!D79+APLICACION!C89+APLICACION!C97+APLICACION!C105+APLICACION!C145+APLICACION!C163+APLICACION!C187</f>
        <v>0</v>
      </c>
      <c r="D22" s="32">
        <f>IF(C22=0,'PERCENTIL GROSSMAN'!B14,IF(C22=1,'PERCENTIL GROSSMAN'!D14,IF(C22=2,'PERCENTIL GROSSMAN'!F14,IF(C22=3,'PERCENTIL GROSSMAN'!H14,IF(C22=4,'PERCENTIL GROSSMAN'!J14,IF(C22=5,'PERCENTIL GROSSMAN'!L14,IF(C22=6,'PERCENTIL GROSSMAN'!N14,IF(C22=7,'PERCENTIL GROSSMAN'!P14,IF(C22=8,'PERCENTIL GROSSMAN'!R14,IF(C22=9,'PERCENTIL GROSSMAN'!T14))))))))))</f>
        <v>0</v>
      </c>
      <c r="E22" s="33" t="str" cm="1">
        <f t="array" ref="E22">+_xlfn.IFS(D22&lt;60,"Normal",D22&lt;=61,"Riesgo",D22&lt;75,"Riesgo",D22&lt;=75,"Trastorno indicado",D22&lt;=84,"Trastorno indicado",D22&gt;=85,"Riesgo Psiquiatrico")</f>
        <v>Normal</v>
      </c>
    </row>
    <row r="23" spans="1:5">
      <c r="A23" s="27" t="s">
        <v>250</v>
      </c>
      <c r="B23" s="34" t="s">
        <v>251</v>
      </c>
      <c r="C23" s="35"/>
      <c r="D23" s="30">
        <f>CORRECCION!D22</f>
        <v>0</v>
      </c>
      <c r="E23" s="25" t="str" cm="1">
        <f t="array" ref="E23">+_xlfn.IFS(D23&lt;60,"Normal",D23&lt;=61,"Riesgo",D23&lt;75,"Riesgo",D23&lt;=75,"Trastorno indicado",D23&lt;=84,"Trastorno indicado",D23&gt;=85,"Riesgo Psiquiatrico")</f>
        <v>Normal</v>
      </c>
    </row>
    <row r="24" spans="1:5" s="22" customFormat="1">
      <c r="A24" s="31" t="s">
        <v>311</v>
      </c>
      <c r="B24" s="37" t="s">
        <v>312</v>
      </c>
      <c r="C24" s="32">
        <f>APLICACION!C22+APLICACION!C50+APLICACION!C95+APLICACION!C129+APLICACION!C144+APLICACION!C154+APLICACION!C183</f>
        <v>0</v>
      </c>
      <c r="D24" s="32">
        <f>IF(C24=0,'PERCENTIL GROSSMAN'!B15,IF(C24=1,'PERCENTIL GROSSMAN'!D15,IF(C24=2,'PERCENTIL GROSSMAN'!F15,IF(C24=3,'PERCENTIL GROSSMAN'!H15,IF(C24=4,'PERCENTIL GROSSMAN'!J15,IF(C24=5,'PERCENTIL GROSSMAN'!L15,IF(C24=6,'PERCENTIL GROSSMAN'!N15,IF(C24=7,'PERCENTIL GROSSMAN'!P15,IF(C24=8,'PERCENTIL GROSSMAN'!R15,IF(C24=9,'PERCENTIL GROSSMAN'!T15))))))))))</f>
        <v>0</v>
      </c>
      <c r="E24" s="33" t="str" cm="1">
        <f t="array" ref="E24">+_xlfn.IFS(D24&lt;60,"Normal",D24&lt;=61,"Riesgo",D24&lt;75,"Riesgo",D24&lt;=75,"Trastorno indicado",D24&lt;=84,"Trastorno indicado",D24&gt;=85,"Riesgo Psiquiatrico")</f>
        <v>Normal</v>
      </c>
    </row>
    <row r="25" spans="1:5" s="22" customFormat="1">
      <c r="A25" s="31" t="s">
        <v>313</v>
      </c>
      <c r="B25" s="37" t="s">
        <v>314</v>
      </c>
      <c r="C25" s="32">
        <f>APLICACION!D18+APLICACION!D27+APLICACION!D36+APLICACION!D38+APLICACION!D38+APLICACION!C42+APLICACION!C58+APLICACION!C96+APLICACION!D151+APLICACION!C166+APLICACION!D207</f>
        <v>0</v>
      </c>
      <c r="D25" s="32">
        <f>IF(C25=0,'PERCENTIL GROSSMAN'!B16,IF(C25=1,'PERCENTIL GROSSMAN'!D16,IF(C25=2,'PERCENTIL GROSSMAN'!F16,IF(C25=3,'PERCENTIL GROSSMAN'!H16,IF(C25=4,'PERCENTIL GROSSMAN'!J16,IF(C25=5,'PERCENTIL GROSSMAN'!L16,IF(C25=6,'PERCENTIL GROSSMAN'!N16,IF(C25=7,'PERCENTIL GROSSMAN'!P16,IF(C25=8,'PERCENTIL GROSSMAN'!R16,IF(C25=9,'PERCENTIL GROSSMAN'!T16))))))))))</f>
        <v>0</v>
      </c>
      <c r="E25" s="33" t="str" cm="1">
        <f t="array" ref="E25">+_xlfn.IFS(D25&lt;60,"Normal",D25&lt;=61,"Riesgo",D25&lt;75,"Riesgo",D25&lt;=75,"Trastorno indicado",D25&lt;=84,"Trastorno indicado",D25&gt;=85,"Riesgo Psiquiatrico")</f>
        <v>Normal</v>
      </c>
    </row>
    <row r="26" spans="1:5" s="22" customFormat="1">
      <c r="A26" s="31" t="s">
        <v>315</v>
      </c>
      <c r="B26" s="37" t="s">
        <v>316</v>
      </c>
      <c r="C26" s="32">
        <f>APLICACION!C20+APLICACION!C32+APLICACION!C39+APLICACION!C65+APLICACION!C79+APLICACION!C87+APLICACION!D147+APLICACION!C167+APLICACION!D182+APLICACION!C186+APLICACION!C190</f>
        <v>0</v>
      </c>
      <c r="D26" s="32">
        <f>IF(C26=0,'PERCENTIL GROSSMAN'!B17,IF(C26=1,'PERCENTIL GROSSMAN'!D17,IF(C26=2,'PERCENTIL GROSSMAN'!F17,IF(C26=3,'PERCENTIL GROSSMAN'!H17,IF(C26=4,'PERCENTIL GROSSMAN'!J17,IF(C26=5,'PERCENTIL GROSSMAN'!L17,IF(C26=6,'PERCENTIL GROSSMAN'!N17,IF(C26=7,'PERCENTIL GROSSMAN'!P17,IF(C26=8,'PERCENTIL GROSSMAN'!R17,IF(C26=9,'PERCENTIL GROSSMAN'!T17))))))))))</f>
        <v>0</v>
      </c>
      <c r="E26" s="33" t="str" cm="1">
        <f t="array" ref="E26">+_xlfn.IFS(D26&lt;60,"Normal",D26&lt;=61,"Riesgo",D26&lt;75,"Riesgo",D26&lt;=75,"Trastorno indicado",D26&lt;=84,"Trastorno indicado",D26&gt;=85,"Riesgo Psiquiatrico")</f>
        <v>Normal</v>
      </c>
    </row>
    <row r="27" spans="1:5">
      <c r="A27" s="27" t="s">
        <v>252</v>
      </c>
      <c r="B27" s="34" t="s">
        <v>253</v>
      </c>
      <c r="C27" s="35"/>
      <c r="D27" s="30">
        <f>CORRECCION!D23</f>
        <v>0</v>
      </c>
      <c r="E27" s="25" t="str" cm="1">
        <f t="array" ref="E27">+_xlfn.IFS(D27&lt;60,"Normal",D27&lt;=61,"Riesgo",D27&lt;75,"Riesgo",D27&lt;=75,"Trastorno indicado",D27&lt;=84,"Trastorno indicado",D27&gt;=85,"Riesgo Psiquiatrico")</f>
        <v>Normal</v>
      </c>
    </row>
    <row r="28" spans="1:5" s="22" customFormat="1">
      <c r="A28" s="31" t="s">
        <v>317</v>
      </c>
      <c r="B28" s="37" t="s">
        <v>318</v>
      </c>
      <c r="C28" s="32">
        <f>APLICACION!C20+APLICACION!C32+APLICACION!C65+APLICACION!C87+APLICACION!C141+APLICACION!C167+APLICACION!C186</f>
        <v>0</v>
      </c>
      <c r="D28" s="32">
        <f>IF(C28=0,'PERCENTIL GROSSMAN'!B18,IF(C28=1,'PERCENTIL GROSSMAN'!D18,IF(C28=2,'PERCENTIL GROSSMAN'!F18,IF(C28=3,'PERCENTIL GROSSMAN'!H18,IF(C28=4,'PERCENTIL GROSSMAN'!J18,IF(C28=5,'PERCENTIL GROSSMAN'!L18,IF(C28=6,'PERCENTIL GROSSMAN'!N18,IF(C28=7,'PERCENTIL GROSSMAN'!P18,IF(C28=8,'PERCENTIL GROSSMAN'!R18,IF(C28=9,'PERCENTIL GROSSMAN'!T18))))))))))</f>
        <v>0</v>
      </c>
      <c r="E28" s="33" t="str" cm="1">
        <f t="array" ref="E28">+_xlfn.IFS(D28&lt;60,"Normal",D28&lt;=61,"Riesgo",D28&lt;75,"Riesgo",D28&lt;=75,"Trastorno indicado",D28&lt;=84,"Trastorno indicado",D28&gt;=85,"Riesgo Psiquiatrico")</f>
        <v>Normal</v>
      </c>
    </row>
    <row r="29" spans="1:5" s="22" customFormat="1">
      <c r="A29" s="31" t="s">
        <v>319</v>
      </c>
      <c r="B29" s="38" t="s">
        <v>320</v>
      </c>
      <c r="C29" s="32">
        <f>APLICACION!C17+APLICACION!C22+APLICACION!D38+APLICACION!C42+APLICACION!C58+APLICACION!C96+APLICACION!C129+APLICACION!D161+APLICACION!C166</f>
        <v>0</v>
      </c>
      <c r="D29" s="32">
        <f>IF(C29=0,'PERCENTIL GROSSMAN'!B19,IF(C29=1,'PERCENTIL GROSSMAN'!D19,IF(C29=2,'PERCENTIL GROSSMAN'!F19,IF(C29=3,'PERCENTIL GROSSMAN'!H19,IF(C29=4,'PERCENTIL GROSSMAN'!J19,IF(C29=5,'PERCENTIL GROSSMAN'!L19,IF(C29=6,'PERCENTIL GROSSMAN'!N19,IF(C29=7,'PERCENTIL GROSSMAN'!P19,IF(C29=8,'PERCENTIL GROSSMAN'!R19,IF(C29=9,'PERCENTIL GROSSMAN'!T19))))))))))</f>
        <v>0</v>
      </c>
      <c r="E29" s="33" t="str" cm="1">
        <f t="array" ref="E29">+_xlfn.IFS(D29&lt;60,"Normal",D29&lt;=61,"Riesgo",D29&lt;75,"Riesgo",D29&lt;=75,"Trastorno indicado",D29&lt;=84,"Trastorno indicado",D29&gt;=85,"Riesgo Psiquiatrico")</f>
        <v>Normal</v>
      </c>
    </row>
    <row r="30" spans="1:5" s="22" customFormat="1">
      <c r="A30" s="31" t="s">
        <v>321</v>
      </c>
      <c r="B30" s="37" t="s">
        <v>322</v>
      </c>
      <c r="C30" s="32">
        <f>APLICACION!D26+APLICACION!C79+APLICACION!D105+APLICACION!D132+APLICACION!C154+APLICACION!D168+APLICACION!D187+APLICACION!D190</f>
        <v>0</v>
      </c>
      <c r="D30" s="32">
        <f>IF(C30=0,'PERCENTIL GROSSMAN'!B20,IF(C30=1,'PERCENTIL GROSSMAN'!D20,IF(C30=2,'PERCENTIL GROSSMAN'!F20,IF(C30=3,'PERCENTIL GROSSMAN'!H20,IF(C30=4,'PERCENTIL GROSSMAN'!J20,IF(C30=5,'PERCENTIL GROSSMAN'!L20,IF(C30=6,'PERCENTIL GROSSMAN'!N20,IF(C30=7,'PERCENTIL GROSSMAN'!P20,IF(C30=8,'PERCENTIL GROSSMAN'!R20,IF(C30=9,'PERCENTIL GROSSMAN'!T20))))))))))</f>
        <v>0</v>
      </c>
      <c r="E30" s="33" t="str" cm="1">
        <f t="array" ref="E30">+_xlfn.IFS(D30&lt;60,"Normal",D30&lt;=61,"Riesgo",D30&lt;75,"Riesgo",D30&lt;=75,"Trastorno indicado",D30&lt;=84,"Trastorno indicado",D30&gt;=85,"Riesgo Psiquiatrico")</f>
        <v>Normal</v>
      </c>
    </row>
    <row r="31" spans="1:5">
      <c r="A31" s="27">
        <v>5</v>
      </c>
      <c r="B31" s="34" t="s">
        <v>254</v>
      </c>
      <c r="C31" s="35"/>
      <c r="D31" s="30">
        <f>CORRECCION!D24</f>
        <v>0</v>
      </c>
      <c r="E31" s="25" t="str" cm="1">
        <f t="array" ref="E31">+_xlfn.IFS(D31&lt;60,"Normal",D31&lt;=61,"Riesgo",D31&lt;75,"Riesgo",D31&lt;=75,"Trastorno indicado",D31&lt;=84,"Trastorno indicado",D31&gt;=85,"Riesgo Psiquiatrico")</f>
        <v>Normal</v>
      </c>
    </row>
    <row r="32" spans="1:5" s="22" customFormat="1">
      <c r="A32" s="31">
        <v>5.0999999999999996</v>
      </c>
      <c r="B32" s="37" t="s">
        <v>323</v>
      </c>
      <c r="C32" s="32">
        <f>APLICACION!C22+APLICACION!C31+APLICACION!C50+APLICACION!C95+APLICACION!C129+APLICACION!C144+APLICACION!C171+APLICACION!C183+APLICACION!C195</f>
        <v>0</v>
      </c>
      <c r="D32" s="32">
        <f>IF(C32=0,'PERCENTIL GROSSMAN'!B21,IF(C32=1,'PERCENTIL GROSSMAN'!D21,IF(C32=2,'PERCENTIL GROSSMAN'!F21,IF(C32=3,'PERCENTIL GROSSMAN'!H21,IF(C32=4,'PERCENTIL GROSSMAN'!J21,IF(C32=5,'PERCENTIL GROSSMAN'!L21,IF(C32=6,'PERCENTIL GROSSMAN'!N21,IF(C32=7,'PERCENTIL GROSSMAN'!P21,IF(C32=8,'PERCENTIL GROSSMAN'!R21,IF(C32=9,'PERCENTIL GROSSMAN'!T21))))))))))</f>
        <v>0</v>
      </c>
      <c r="E32" s="33" t="str" cm="1">
        <f t="array" ref="E32">+_xlfn.IFS(D32&lt;60,"Normal",D32&lt;=61,"Riesgo",D32&lt;75,"Riesgo",D32&lt;=75,"Trastorno indicado",D32&lt;=84,"Trastorno indicado",D32&gt;=85,"Riesgo Psiquiatrico")</f>
        <v>Normal</v>
      </c>
    </row>
    <row r="33" spans="1:5" s="22" customFormat="1">
      <c r="A33" s="31">
        <v>5.2</v>
      </c>
      <c r="B33" s="37" t="s">
        <v>324</v>
      </c>
      <c r="C33" s="32">
        <f>APLICACION!C20+APLICACION!C79+APLICACION!C87+APLICACION!D105+APLICACION!C154+APLICACION!C166+APLICACION!C167+APLICACION!C186+APLICACION!D190+APLICACION!C197</f>
        <v>0</v>
      </c>
      <c r="D33" s="32">
        <f>IF(C33=0,'PERCENTIL GROSSMAN'!B22,IF(C33=1,'PERCENTIL GROSSMAN'!D22,IF(C33=2,'PERCENTIL GROSSMAN'!F22,IF(C33=3,'PERCENTIL GROSSMAN'!H22,IF(C33=4,'PERCENTIL GROSSMAN'!J22,IF(C33=5,'PERCENTIL GROSSMAN'!L22,IF(C33=6,'PERCENTIL GROSSMAN'!N22,IF(C33=7,'PERCENTIL GROSSMAN'!P22,IF(C33=8,'PERCENTIL GROSSMAN'!R22,IF(C33=9,'PERCENTIL GROSSMAN'!T22))))))))))</f>
        <v>0</v>
      </c>
      <c r="E33" s="33" t="str" cm="1">
        <f t="array" ref="E33">+_xlfn.IFS(D33&lt;60,"Normal",D33&lt;=61,"Riesgo",D33&lt;75,"Riesgo",D33&lt;=75,"Trastorno indicado",D33&lt;=84,"Trastorno indicado",D33&gt;=85,"Riesgo Psiquiatrico")</f>
        <v>Normal</v>
      </c>
    </row>
    <row r="34" spans="1:5" s="22" customFormat="1">
      <c r="A34" s="31">
        <v>5.3</v>
      </c>
      <c r="B34" s="37" t="s">
        <v>325</v>
      </c>
      <c r="C34" s="32">
        <f>APLICACION!C41+APLICACION!C66+APLICACION!C91+APLICACION!C99+APLICACION!C118+APLICACION!C192+APLICACION!C201</f>
        <v>0</v>
      </c>
      <c r="D34" s="32">
        <f>IF(C34=0,'PERCENTIL GROSSMAN'!B23,IF(C34=1,'PERCENTIL GROSSMAN'!D23,IF(C34=2,'PERCENTIL GROSSMAN'!F23,IF(C34=3,'PERCENTIL GROSSMAN'!H23,IF(C34=4,'PERCENTIL GROSSMAN'!J23,IF(C34=5,'PERCENTIL GROSSMAN'!L23,IF(C34=6,'PERCENTIL GROSSMAN'!N23,IF(C34=7,'PERCENTIL GROSSMAN'!P23,IF(C34=8,'PERCENTIL GROSSMAN'!R23,IF(C34=9,'PERCENTIL GROSSMAN'!T23))))))))))</f>
        <v>0</v>
      </c>
      <c r="E34" s="33" t="str" cm="1">
        <f t="array" ref="E34">+_xlfn.IFS(D34&lt;60,"Normal",D34&lt;=61,"Riesgo",D34&lt;75,"Riesgo",D34&lt;=75,"Trastorno indicado",D34&lt;=84,"Trastorno indicado",D34&gt;=85,"Riesgo Psiquiatrico")</f>
        <v>Normal</v>
      </c>
    </row>
    <row r="35" spans="1:5">
      <c r="A35" s="27" t="s">
        <v>255</v>
      </c>
      <c r="B35" s="34" t="s">
        <v>256</v>
      </c>
      <c r="C35" s="35"/>
      <c r="D35" s="30">
        <f>CORRECCION!D25</f>
        <v>0</v>
      </c>
      <c r="E35" s="25" t="str" cm="1">
        <f t="array" ref="E35">+_xlfn.IFS(D35&lt;60,"Normal",D35&lt;=61,"Riesgo",D35&lt;75,"Riesgo",D35&lt;=75,"Trastorno indicado",D35&lt;=84,"Trastorno indicado",D35&gt;=85,"Riesgo Psiquiatrico")</f>
        <v>Normal</v>
      </c>
    </row>
    <row r="36" spans="1:5" s="22" customFormat="1">
      <c r="A36" s="31" t="s">
        <v>326</v>
      </c>
      <c r="B36" s="37" t="s">
        <v>327</v>
      </c>
      <c r="C36" s="32">
        <f>APLICACION!D22+APLICACION!D50+APLICACION!C95+APLICACION!C115+APLICACION!C171+APLICACION!D183+APLICACION!C195+APLICACION!D200</f>
        <v>0</v>
      </c>
      <c r="D36" s="32">
        <f>IF(C36=0,'PERCENTIL GROSSMAN'!B24,IF(C36=1,'PERCENTIL GROSSMAN'!D24,IF(C36=2,'PERCENTIL GROSSMAN'!F24,IF(C36=3,'PERCENTIL GROSSMAN'!H24,IF(C36=4,'PERCENTIL GROSSMAN'!J24,IF(C36=5,'PERCENTIL GROSSMAN'!L24,IF(C36=6,'PERCENTIL GROSSMAN'!N24,IF(C36=7,'PERCENTIL GROSSMAN'!P24,IF(C36=8,'PERCENTIL GROSSMAN'!R24,IF(C36=9,'PERCENTIL GROSSMAN'!T24))))))))))</f>
        <v>0</v>
      </c>
      <c r="E36" s="33" t="str" cm="1">
        <f t="array" ref="E36">+_xlfn.IFS(D36&lt;60,"Normal",D36&lt;=61,"Riesgo",D36&lt;75,"Riesgo",D36&lt;=75,"Trastorno indicado",D36&lt;=84,"Trastorno indicado",D36&gt;=85,"Riesgo Psiquiatrico")</f>
        <v>Normal</v>
      </c>
    </row>
    <row r="37" spans="1:5" s="22" customFormat="1">
      <c r="A37" s="31" t="s">
        <v>328</v>
      </c>
      <c r="B37" s="37" t="s">
        <v>329</v>
      </c>
      <c r="C37" s="32">
        <f>APLICACION!C23+APLICACION!C31+APLICACION!D60+APLICACION!D85+APLICACION!C159+APLICACION!C164+APLICACION!C165+APLICACION!D170+APLICACION!C180+APLICACION!D203</f>
        <v>0</v>
      </c>
      <c r="D37" s="32">
        <f>IF(C37=0,'PERCENTIL GROSSMAN'!B25,IF(C37=1,'PERCENTIL GROSSMAN'!D25,IF(C37=2,'PERCENTIL GROSSMAN'!F25,IF(C37=3,'PERCENTIL GROSSMAN'!H25,IF(C37=4,'PERCENTIL GROSSMAN'!J25,IF(C37=5,'PERCENTIL GROSSMAN'!L25,IF(C37=6,'PERCENTIL GROSSMAN'!N25,IF(C37=7,'PERCENTIL GROSSMAN'!P25,IF(C37=8,'PERCENTIL GROSSMAN'!R25,IF(C37=9,'PERCENTIL GROSSMAN'!T25))))))))))</f>
        <v>0</v>
      </c>
      <c r="E37" s="33" t="str" cm="1">
        <f t="array" ref="E37">+_xlfn.IFS(D37&lt;60,"Normal",D37&lt;=61,"Riesgo",D37&lt;75,"Riesgo",D37&lt;=75,"Trastorno indicado",D37&lt;=84,"Trastorno indicado",D37&gt;=85,"Riesgo Psiquiatrico")</f>
        <v>Normal</v>
      </c>
    </row>
    <row r="38" spans="1:5" s="22" customFormat="1">
      <c r="A38" s="31" t="s">
        <v>330</v>
      </c>
      <c r="B38" s="37" t="s">
        <v>331</v>
      </c>
      <c r="C38" s="32">
        <f>APLICACION!C37+APLICACION!C48+APLICACION!C73+APLICACION!D75+APLICACION!C97+APLICACION!C117+APLICACION!C138+APLICACION!C142+APLICACION!C156</f>
        <v>0</v>
      </c>
      <c r="D38" s="32">
        <f>IF(C38=0,'PERCENTIL GROSSMAN'!B26,IF(C38=1,'PERCENTIL GROSSMAN'!D26,IF(C38=2,'PERCENTIL GROSSMAN'!F26,IF(C38=3,'PERCENTIL GROSSMAN'!H26,IF(C38=4,'PERCENTIL GROSSMAN'!J26,IF(C38=5,'PERCENTIL GROSSMAN'!L26,IF(C38=6,'PERCENTIL GROSSMAN'!N26,IF(C38=7,'PERCENTIL GROSSMAN'!P26,IF(C38=8,'PERCENTIL GROSSMAN'!R26,IF(C38=9,'PERCENTIL GROSSMAN'!T26))))))))))</f>
        <v>0</v>
      </c>
      <c r="E38" s="33" t="str" cm="1">
        <f t="array" ref="E38">+_xlfn.IFS(D38&lt;60,"Normal",D38&lt;=61,"Riesgo",D38&lt;75,"Riesgo",D38&lt;=75,"Trastorno indicado",D38&lt;=84,"Trastorno indicado",D38&gt;=85,"Riesgo Psiquiatrico")</f>
        <v>Normal</v>
      </c>
    </row>
    <row r="39" spans="1:5">
      <c r="A39" s="27" t="s">
        <v>257</v>
      </c>
      <c r="B39" s="34" t="s">
        <v>258</v>
      </c>
      <c r="C39" s="35"/>
      <c r="D39" s="30">
        <f>CORRECCION!D26</f>
        <v>0</v>
      </c>
      <c r="E39" s="25" t="str" cm="1">
        <f t="array" ref="E39">+_xlfn.IFS(D39&lt;60,"Normal",D39&lt;=61,"Riesgo",D39&lt;75,"Riesgo",D39&lt;=75,"Trastorno indicado",D39&lt;=84,"Trastorno indicado",D39&gt;=85,"Riesgo Psiquiatrico")</f>
        <v>Normal</v>
      </c>
    </row>
    <row r="40" spans="1:5" s="22" customFormat="1">
      <c r="A40" s="31" t="s">
        <v>332</v>
      </c>
      <c r="B40" s="38" t="s">
        <v>333</v>
      </c>
      <c r="C40" s="32">
        <f>APLICACION!C21+APLICACION!C23+APLICACION!C77+APLICACION!C78+APLICACION!C100+APLICACION!C115+APLICACION!C164+APLICACION!C165+APLICACION!C171</f>
        <v>0</v>
      </c>
      <c r="D40" s="32">
        <f>IF(C40=0,'PERCENTIL GROSSMAN'!B27,IF(C40=1,'PERCENTIL GROSSMAN'!D27,IF(C40=2,'PERCENTIL GROSSMAN'!F27,IF(C40=3,'PERCENTIL GROSSMAN'!H27,IF(C40=4,'PERCENTIL GROSSMAN'!J27,IF(C40=5,'PERCENTIL GROSSMAN'!L27,IF(C40=6,'PERCENTIL GROSSMAN'!N27,IF(C40=7,'PERCENTIL GROSSMAN'!P27,IF(C40=8,'PERCENTIL GROSSMAN'!R27,IF(C40=9,'PERCENTIL GROSSMAN'!T27))))))))))</f>
        <v>0</v>
      </c>
      <c r="E40" s="33" t="str" cm="1">
        <f t="array" ref="E40">+_xlfn.IFS(D40&lt;60,"Normal",D40&lt;=61,"Riesgo",D40&lt;75,"Riesgo",D40&lt;=75,"Trastorno indicado",D40&lt;=84,"Trastorno indicado",D40&gt;=85,"Riesgo Psiquiatrico")</f>
        <v>Normal</v>
      </c>
    </row>
    <row r="41" spans="1:5" s="22" customFormat="1">
      <c r="A41" s="31" t="s">
        <v>334</v>
      </c>
      <c r="B41" s="37" t="s">
        <v>335</v>
      </c>
      <c r="C41" s="32">
        <f>APLICACION!C31+APLICACION!C33+APLICACION!C62+APLICACION!C109+APLICACION!C153+APLICACION!D178+APLICACION!C199</f>
        <v>0</v>
      </c>
      <c r="D41" s="32">
        <f>IF(C41=0,'PERCENTIL GROSSMAN'!B28,IF(C41=1,'PERCENTIL GROSSMAN'!D28,IF(C41=2,'PERCENTIL GROSSMAN'!F28,IF(C41=3,'PERCENTIL GROSSMAN'!H28,IF(C41=4,'PERCENTIL GROSSMAN'!J28,IF(C41=5,'PERCENTIL GROSSMAN'!L28,IF(C41=6,'PERCENTIL GROSSMAN'!N28,IF(C41=7,'PERCENTIL GROSSMAN'!P28,IF(C41=8,'PERCENTIL GROSSMAN'!R28,IF(C41=9,'PERCENTIL GROSSMAN'!T28))))))))))</f>
        <v>0</v>
      </c>
      <c r="E41" s="33" t="str" cm="1">
        <f t="array" ref="E41">+_xlfn.IFS(D41&lt;60,"Normal",D41&lt;=61,"Riesgo",D41&lt;75,"Riesgo",D41&lt;=75,"Trastorno indicado",D41&lt;=84,"Trastorno indicado",D41&gt;=85,"Riesgo Psiquiatrico")</f>
        <v>Normal</v>
      </c>
    </row>
    <row r="42" spans="1:5" s="22" customFormat="1">
      <c r="A42" s="31" t="s">
        <v>336</v>
      </c>
      <c r="B42" s="37" t="s">
        <v>337</v>
      </c>
      <c r="C42" s="32">
        <f>APLICACION!C28+APLICACION!C49+APLICACION!C86+APLICACION!C127+APLICACION!C149+APLICACION!C157+APLICACION!C180</f>
        <v>0</v>
      </c>
      <c r="D42" s="32">
        <f>IF(C42=0,'PERCENTIL GROSSMAN'!B29,IF(C42=1,'PERCENTIL GROSSMAN'!D29,IF(C42=2,'PERCENTIL GROSSMAN'!F29,IF(C42=3,'PERCENTIL GROSSMAN'!H29,IF(C42=4,'PERCENTIL GROSSMAN'!J29,IF(C42=5,'PERCENTIL GROSSMAN'!L29,IF(C42=6,'PERCENTIL GROSSMAN'!N29,IF(C42=7,'PERCENTIL GROSSMAN'!P29,IF(C42=8,'PERCENTIL GROSSMAN'!R29,IF(C42=9,'PERCENTIL GROSSMAN'!T29))))))))))</f>
        <v>0</v>
      </c>
      <c r="E42" s="33" t="str" cm="1">
        <f t="array" ref="E42">+_xlfn.IFS(D42&lt;60,"Normal",D42&lt;=61,"Riesgo",D42&lt;75,"Riesgo",D42&lt;=75,"Trastorno indicado",D42&lt;=84,"Trastorno indicado",D42&gt;=85,"Riesgo Psiquiatrico")</f>
        <v>Normal</v>
      </c>
    </row>
    <row r="43" spans="1:5">
      <c r="A43" s="27">
        <v>7</v>
      </c>
      <c r="B43" s="34" t="s">
        <v>259</v>
      </c>
      <c r="C43" s="35"/>
      <c r="D43" s="30">
        <f>CORRECCION!D27</f>
        <v>0</v>
      </c>
      <c r="E43" s="25" t="str" cm="1">
        <f t="array" ref="E43">+_xlfn.IFS(D43&lt;60,"Normal",D43&lt;=61,"Riesgo",D43&lt;75,"Riesgo",D43&lt;=75,"Trastorno indicado",D43&lt;=84,"Trastorno indicado",D43&gt;=85,"Riesgo Psiquiatrico")</f>
        <v>Normal</v>
      </c>
    </row>
    <row r="44" spans="1:5" s="22" customFormat="1">
      <c r="A44" s="31">
        <v>7.1</v>
      </c>
      <c r="B44" s="37" t="s">
        <v>338</v>
      </c>
      <c r="C44" s="32">
        <f>APLICACION!C14+APLICACION!C32+APLICACION!C47+APLICACION!C75+APLICACION!D97+APLICACION!D130+APLICACION!C186+APLICACION!C200</f>
        <v>0</v>
      </c>
      <c r="D44" s="32">
        <f>IF(C44=0,'PERCENTIL GROSSMAN'!B30,IF(C44=1,'PERCENTIL GROSSMAN'!D30,IF(C44=2,'PERCENTIL GROSSMAN'!F30,IF(C44=3,'PERCENTIL GROSSMAN'!H30,IF(C44=4,'PERCENTIL GROSSMAN'!J30,IF(C44=5,'PERCENTIL GROSSMAN'!L30,IF(C44=6,'PERCENTIL GROSSMAN'!N30,IF(C44=7,'PERCENTIL GROSSMAN'!P30,IF(C44=8,'PERCENTIL GROSSMAN'!R30,IF(C44=9,'PERCENTIL GROSSMAN'!T30))))))))))</f>
        <v>0</v>
      </c>
      <c r="E44" s="33" t="str" cm="1">
        <f t="array" ref="E44">+_xlfn.IFS(D44&lt;60,"Normal",D44&lt;=61,"Riesgo",D44&lt;75,"Riesgo",D44&lt;=75,"Trastorno indicado",D44&lt;=84,"Trastorno indicado",D44&gt;=85,"Riesgo Psiquiatrico")</f>
        <v>Normal</v>
      </c>
    </row>
    <row r="45" spans="1:5" s="22" customFormat="1">
      <c r="A45" s="31">
        <v>7.2</v>
      </c>
      <c r="B45" s="37" t="s">
        <v>339</v>
      </c>
      <c r="C45" s="32">
        <f>APLICACION!C35+APLICACION!C56+APLICACION!C63+APLICACION!C64+APLICACION!C111+APLICACION!C140+APLICACION!C143+APLICACION!C147+APLICACION!C149</f>
        <v>0</v>
      </c>
      <c r="D45" s="32">
        <f>IF(C45=0,'PERCENTIL GROSSMAN'!B31,IF(C45=1,'PERCENTIL GROSSMAN'!D31,IF(C45=2,'PERCENTIL GROSSMAN'!F31,IF(C45=3,'PERCENTIL GROSSMAN'!H31,IF(C45=4,'PERCENTIL GROSSMAN'!J31,IF(C45=5,'PERCENTIL GROSSMAN'!L31,IF(C45=6,'PERCENTIL GROSSMAN'!N31,IF(C45=7,'PERCENTIL GROSSMAN'!P31,IF(C45=8,'PERCENTIL GROSSMAN'!R31,IF(C45=9,'PERCENTIL GROSSMAN'!T31))))))))))</f>
        <v>0</v>
      </c>
      <c r="E45" s="33" t="str" cm="1">
        <f t="array" ref="E45">+_xlfn.IFS(D45&lt;60,"Normal",D45&lt;=61,"Riesgo",D45&lt;75,"Riesgo",D45&lt;=75,"Trastorno indicado",D45&lt;=84,"Trastorno indicado",D45&gt;=85,"Riesgo Psiquiatrico")</f>
        <v>Normal</v>
      </c>
    </row>
    <row r="46" spans="1:5" s="22" customFormat="1">
      <c r="A46" s="31">
        <v>7.3</v>
      </c>
      <c r="B46" s="37" t="s">
        <v>340</v>
      </c>
      <c r="C46" s="32">
        <f>APLICACION!D31+APLICACION!C60+APLICACION!C85+APLICACION!D95+APLICACION!D159+APLICACION!D164+APLICACION!C170+APLICACION!D195+APLICACION!C203</f>
        <v>0</v>
      </c>
      <c r="D46" s="32">
        <f>IF(C46=0,'PERCENTIL GROSSMAN'!B32,IF(C46=1,'PERCENTIL GROSSMAN'!D32,IF(C46=2,'PERCENTIL GROSSMAN'!F32,IF(C46=3,'PERCENTIL GROSSMAN'!H32,IF(C46=4,'PERCENTIL GROSSMAN'!J32,IF(C46=5,'PERCENTIL GROSSMAN'!L32,IF(C46=6,'PERCENTIL GROSSMAN'!N32,IF(C46=7,'PERCENTIL GROSSMAN'!P32,IF(C46=8,'PERCENTIL GROSSMAN'!R32,IF(C46=9,'PERCENTIL GROSSMAN'!T32))))))))))</f>
        <v>0</v>
      </c>
      <c r="E46" s="33" t="str" cm="1">
        <f t="array" ref="E46">+_xlfn.IFS(D46&lt;60,"Normal",D46&lt;=61,"Riesgo",D46&lt;75,"Riesgo",D46&lt;=75,"Trastorno indicado",D46&lt;=84,"Trastorno indicado",D46&gt;=85,"Riesgo Psiquiatrico")</f>
        <v>Normal</v>
      </c>
    </row>
    <row r="47" spans="1:5">
      <c r="A47" s="27" t="s">
        <v>260</v>
      </c>
      <c r="B47" s="34" t="s">
        <v>261</v>
      </c>
      <c r="C47" s="35"/>
      <c r="D47" s="30">
        <f>CORRECCION!D28</f>
        <v>0</v>
      </c>
      <c r="E47" s="25" t="str" cm="1">
        <f t="array" ref="E47">+_xlfn.IFS(D47&lt;60,"Normal",D47&lt;=61,"Riesgo",D47&lt;75,"Riesgo",D47&lt;=75,"Trastorno indicado",D47&lt;=84,"Trastorno indicado",D47&gt;=85,"Riesgo Psiquiatrico")</f>
        <v>Normal</v>
      </c>
    </row>
    <row r="48" spans="1:5" s="22" customFormat="1">
      <c r="A48" s="31" t="s">
        <v>341</v>
      </c>
      <c r="B48" s="37" t="s">
        <v>342</v>
      </c>
      <c r="C48" s="32">
        <f>APLICACION!C33+APLICACION!C44+APLICACION!C91+APLICACION!C100+APLICACION!C108+APLICACION!C112+APLICACION!C134+APLICACION!C179+APLICACION!C184</f>
        <v>0</v>
      </c>
      <c r="D48" s="32">
        <f>IF(C48=0,'PERCENTIL GROSSMAN'!B33,IF(C48=1,'PERCENTIL GROSSMAN'!D33,IF(C48=2,'PERCENTIL GROSSMAN'!F33,IF(C48=3,'PERCENTIL GROSSMAN'!H33,IF(C48=4,'PERCENTIL GROSSMAN'!J33,IF(C48=5,'PERCENTIL GROSSMAN'!L33,IF(C48=6,'PERCENTIL GROSSMAN'!N33,IF(C48=7,'PERCENTIL GROSSMAN'!P33,IF(C48=8,'PERCENTIL GROSSMAN'!R33,IF(C48=9,'PERCENTIL GROSSMAN'!T33))))))))))</f>
        <v>0</v>
      </c>
      <c r="E48" s="33" t="str" cm="1">
        <f t="array" ref="E48">+_xlfn.IFS(D48&lt;60,"Normal",D48&lt;=61,"Riesgo",D48&lt;75,"Riesgo",D48&lt;=75,"Trastorno indicado",D48&lt;=84,"Trastorno indicado",D48&gt;=85,"Riesgo Psiquiatrico")</f>
        <v>Normal</v>
      </c>
    </row>
    <row r="49" spans="1:5" s="22" customFormat="1">
      <c r="A49" s="31" t="s">
        <v>343</v>
      </c>
      <c r="B49" s="37" t="s">
        <v>344</v>
      </c>
      <c r="C49" s="32">
        <f>APLICACION!C24+APLICACION!C29+APLICACION!C36+APLICACION!C46+APLICACION!C51+APLICACION!C63+APLICACION!C64+APLICACION!C71+APLICACION!D87+APLICACION!C165</f>
        <v>0</v>
      </c>
      <c r="D49" s="32">
        <f>IF(C49=0,'PERCENTIL GROSSMAN'!B34,IF(C49=1,'PERCENTIL GROSSMAN'!D34,IF(C49=2,'PERCENTIL GROSSMAN'!F34,IF(C49=3,'PERCENTIL GROSSMAN'!H34,IF(C49=4,'PERCENTIL GROSSMAN'!J34,IF(C49=5,'PERCENTIL GROSSMAN'!L34,IF(C49=6,'PERCENTIL GROSSMAN'!N34,IF(C49=7,'PERCENTIL GROSSMAN'!P34,IF(C49=8,'PERCENTIL GROSSMAN'!R34,IF(C49=9,'PERCENTIL GROSSMAN'!T34))))))))))</f>
        <v>0</v>
      </c>
      <c r="E49" s="33" t="str" cm="1">
        <f t="array" ref="E49">+_xlfn.IFS(D49&lt;60,"Normal",D49&lt;=61,"Riesgo",D49&lt;75,"Riesgo",D49&lt;=75,"Trastorno indicado",D49&lt;=84,"Trastorno indicado",D49&gt;=85,"Riesgo Psiquiatrico")</f>
        <v>Normal</v>
      </c>
    </row>
    <row r="50" spans="1:5" s="22" customFormat="1">
      <c r="A50" s="31" t="s">
        <v>345</v>
      </c>
      <c r="B50" s="37" t="s">
        <v>346</v>
      </c>
      <c r="C50" s="32">
        <f>APLICACION!C21+APLICACION!C49+APLICACION!C86+APLICACION!C94+APLICACION!C109+APLICACION!C127+APLICACION!C149+APLICACION!C157+APLICACION!C180</f>
        <v>0</v>
      </c>
      <c r="D50" s="32">
        <f>IF(C50=0,'PERCENTIL GROSSMAN'!B35,IF(C50=1,'PERCENTIL GROSSMAN'!D35,IF(C50=2,'PERCENTIL GROSSMAN'!F35,IF(C50=3,'PERCENTIL GROSSMAN'!H35,IF(C50=4,'PERCENTIL GROSSMAN'!J35,IF(C50=5,'PERCENTIL GROSSMAN'!L35,IF(C50=6,'PERCENTIL GROSSMAN'!N35,IF(C50=7,'PERCENTIL GROSSMAN'!P35,IF(C50=8,'PERCENTIL GROSSMAN'!R35,IF(C50=9,'PERCENTIL GROSSMAN'!T35))))))))))</f>
        <v>0</v>
      </c>
      <c r="E50" s="33" t="str" cm="1">
        <f t="array" ref="E50">+_xlfn.IFS(D50&lt;60,"Normal",D50&lt;=61,"Riesgo",D50&lt;75,"Riesgo",D50&lt;=75,"Trastorno indicado",D50&lt;=84,"Trastorno indicado",D50&gt;=85,"Riesgo Psiquiatrico")</f>
        <v>Normal</v>
      </c>
    </row>
    <row r="51" spans="1:5">
      <c r="A51" s="27" t="s">
        <v>262</v>
      </c>
      <c r="B51" s="34" t="s">
        <v>263</v>
      </c>
      <c r="C51" s="35"/>
      <c r="D51" s="30">
        <f>CORRECCION!D29</f>
        <v>0</v>
      </c>
      <c r="E51" s="25" t="str" cm="1">
        <f t="array" ref="E51">+_xlfn.IFS(D51&lt;60,"Normal",D51&lt;=61,"Riesgo",D51&lt;75,"Riesgo",D51&lt;=75,"Trastorno indicado",D51&lt;=84,"Trastorno indicado",D51&gt;=85,"Riesgo Psiquiatrico")</f>
        <v>Normal</v>
      </c>
    </row>
    <row r="52" spans="1:5" s="22" customFormat="1">
      <c r="A52" s="31" t="s">
        <v>347</v>
      </c>
      <c r="B52" s="37" t="s">
        <v>348</v>
      </c>
      <c r="C52" s="32">
        <f>APLICACION!C16+APLICACION!C24+APLICACION!C35+APLICACION!C51+APLICACION!C64+APLICACION!C71+APLICACION!C82+APLICACION!C105+APLICACION!C176</f>
        <v>0</v>
      </c>
      <c r="D52" s="32">
        <f>IF(C52=0,'PERCENTIL GROSSMAN'!B36,IF(C52=1,'PERCENTIL GROSSMAN'!D36,IF(C52=2,'PERCENTIL GROSSMAN'!F36,IF(C52=3,'PERCENTIL GROSSMAN'!H36,IF(C52=4,'PERCENTIL GROSSMAN'!J36,IF(C52=5,'PERCENTIL GROSSMAN'!L36,IF(C52=6,'PERCENTIL GROSSMAN'!N36,IF(C52=7,'PERCENTIL GROSSMAN'!P36,IF(C52=8,'PERCENTIL GROSSMAN'!R36,IF(C52=9,'PERCENTIL GROSSMAN'!T36))))))))))</f>
        <v>0</v>
      </c>
      <c r="E52" s="33" t="str" cm="1">
        <f t="array" ref="E52">+_xlfn.IFS(D52&lt;60,"Normal",D52&lt;=61,"Riesgo",D52&lt;75,"Riesgo",D52&lt;=75,"Trastorno indicado",D52&lt;=84,"Trastorno indicado",D52&gt;=85,"Riesgo Psiquiatrico")</f>
        <v>Normal</v>
      </c>
    </row>
    <row r="53" spans="1:5" s="22" customFormat="1">
      <c r="A53" s="31" t="s">
        <v>349</v>
      </c>
      <c r="B53" s="37" t="s">
        <v>350</v>
      </c>
      <c r="C53" s="32">
        <f>APLICACION!C29+APLICACION!C52+APLICACION!C97+APLICACION!C112+APLICACION!C138+APLICACION!C168+APLICACION!C178+APLICACION!C179+APLICACION!C196</f>
        <v>0</v>
      </c>
      <c r="D53" s="32">
        <f>IF(C53=0,'PERCENTIL GROSSMAN'!B37,IF(C53=1,'PERCENTIL GROSSMAN'!D37,IF(C53=2,'PERCENTIL GROSSMAN'!F37,IF(C53=3,'PERCENTIL GROSSMAN'!H37,IF(C53=4,'PERCENTIL GROSSMAN'!J37,IF(C53=5,'PERCENTIL GROSSMAN'!L37,IF(C53=6,'PERCENTIL GROSSMAN'!N37,IF(C53=7,'PERCENTIL GROSSMAN'!P37,IF(C53=8,'PERCENTIL GROSSMAN'!R37,IF(C53=9,'PERCENTIL GROSSMAN'!T37))))))))))</f>
        <v>0</v>
      </c>
      <c r="E53" s="33" t="str" cm="1">
        <f t="array" ref="E53">+_xlfn.IFS(D53&lt;60,"Normal",D53&lt;=61,"Riesgo",D53&lt;75,"Riesgo",D53&lt;=75,"Trastorno indicado",D53&lt;=84,"Trastorno indicado",D53&gt;=85,"Riesgo Psiquiatrico")</f>
        <v>Normal</v>
      </c>
    </row>
    <row r="54" spans="1:5" s="22" customFormat="1">
      <c r="A54" s="31" t="s">
        <v>351</v>
      </c>
      <c r="B54" s="37" t="s">
        <v>352</v>
      </c>
      <c r="C54" s="32">
        <f>APLICACION!C32+APLICACION!C65+APLICACION!D79+APLICACION!C87+APLICACION!C104+APLICACION!C119+APLICACION!C166+APLICACION!C167+APLICACION!D182</f>
        <v>0</v>
      </c>
      <c r="D54" s="32">
        <f>IF(C54=0,'PERCENTIL GROSSMAN'!B38,IF(C54=1,'PERCENTIL GROSSMAN'!D38,IF(C54=2,'PERCENTIL GROSSMAN'!F38,IF(C54=3,'PERCENTIL GROSSMAN'!H38,IF(C54=4,'PERCENTIL GROSSMAN'!J38,IF(C54=5,'PERCENTIL GROSSMAN'!L38,IF(C54=6,'PERCENTIL GROSSMAN'!N38,IF(C54=7,'PERCENTIL GROSSMAN'!P38,IF(C54=8,'PERCENTIL GROSSMAN'!R38,IF(C54=9,'PERCENTIL GROSSMAN'!T38))))))))))</f>
        <v>0</v>
      </c>
      <c r="E54" s="33" t="str" cm="1">
        <f t="array" ref="E54">+_xlfn.IFS(D54&lt;60,"Normal",D54&lt;=61,"Riesgo",D54&lt;75,"Riesgo",D54&lt;=75,"Trastorno indicado",D54&lt;=84,"Trastorno indicado",D54&gt;=85,"Riesgo Psiquiatrico")</f>
        <v>Normal</v>
      </c>
    </row>
    <row r="55" spans="1:5">
      <c r="A55" s="39" t="s">
        <v>265</v>
      </c>
      <c r="B55" s="39" t="s">
        <v>266</v>
      </c>
      <c r="C55" s="40"/>
      <c r="D55" s="30">
        <f>CORRECCION!D31</f>
        <v>0</v>
      </c>
      <c r="E55" s="25" t="str" cm="1">
        <f t="array" ref="E55">+_xlfn.IFS(D55&lt;60,"Normal",D55&lt;=61,"Riesgo",D55&lt;75,"Riesgo",D55&lt;=75,"Trastorno indicado",D55&lt;=84,"Trastorno indicado",D55&gt;=85,"Riesgo Psiquiatrico")</f>
        <v>Normal</v>
      </c>
    </row>
    <row r="56" spans="1:5" s="22" customFormat="1">
      <c r="A56" s="41" t="s">
        <v>353</v>
      </c>
      <c r="B56" s="37" t="s">
        <v>354</v>
      </c>
      <c r="C56" s="32">
        <f>APLICACION!C30+APLICACION!C45+APLICACION!C56+APLICACION!C101+APLICACION!C133+APLICACION!C135+APLICACION!C143+APLICACION!C175</f>
        <v>0</v>
      </c>
      <c r="D56" s="32">
        <f>IF(C56=0,'PERCENTIL GROSSMAN'!B39,IF(C56=1,'PERCENTIL GROSSMAN'!D39,IF(C56=2,'PERCENTIL GROSSMAN'!F39,IF(C56=3,'PERCENTIL GROSSMAN'!H39,IF(C56=4,'PERCENTIL GROSSMAN'!J39,IF(C56=5,'PERCENTIL GROSSMAN'!L39,IF(C56=6,'PERCENTIL GROSSMAN'!N39,IF(C56=7,'PERCENTIL GROSSMAN'!P39,IF(C56=8,'PERCENTIL GROSSMAN'!R39,IF(C56=9,'PERCENTIL GROSSMAN'!T39))))))))))</f>
        <v>0</v>
      </c>
      <c r="E56" s="33" t="str" cm="1">
        <f t="array" ref="E56">+_xlfn.IFS(D56&lt;60,"Normal",D56&lt;=61,"Riesgo",D56&lt;75,"Riesgo",D56&lt;=75,"Trastorno indicado",D56&lt;=84,"Trastorno indicado",D56&gt;=85,"Riesgo Psiquiatrico")</f>
        <v>Normal</v>
      </c>
    </row>
    <row r="57" spans="1:5" s="22" customFormat="1">
      <c r="A57" s="41" t="s">
        <v>355</v>
      </c>
      <c r="B57" s="37" t="s">
        <v>356</v>
      </c>
      <c r="C57" s="32">
        <f>APLICACION!C17+APLICACION!C70+APLICACION!C82+APLICACION!C102+APLICACION!C105+APLICACION!C123+APLICACION!C138+APLICACION!D166+APLICACION!C168+APLICACION!C178</f>
        <v>0</v>
      </c>
      <c r="D57" s="32">
        <f>IF(C57=0,'PERCENTIL GROSSMAN'!B40,IF(C57=1,'PERCENTIL GROSSMAN'!D40,IF(C57=2,'PERCENTIL GROSSMAN'!F40,IF(C57=3,'PERCENTIL GROSSMAN'!H40,IF(C57=4,'PERCENTIL GROSSMAN'!J40,IF(C57=5,'PERCENTIL GROSSMAN'!L40,IF(C57=6,'PERCENTIL GROSSMAN'!N40,IF(C57=7,'PERCENTIL GROSSMAN'!P40,IF(C57=8,'PERCENTIL GROSSMAN'!R40,IF(C57=9,'PERCENTIL GROSSMAN'!T40))))))))))</f>
        <v>0</v>
      </c>
      <c r="E57" s="33" t="str" cm="1">
        <f t="array" ref="E57">+_xlfn.IFS(D57&lt;60,"Normal",D57&lt;=61,"Riesgo",D57&lt;75,"Riesgo",D57&lt;=75,"Trastorno indicado",D57&lt;=84,"Trastorno indicado",D57&gt;=85,"Riesgo Psiquiatrico")</f>
        <v>Normal</v>
      </c>
    </row>
    <row r="58" spans="1:5" s="22" customFormat="1">
      <c r="A58" s="41" t="s">
        <v>357</v>
      </c>
      <c r="B58" s="37" t="s">
        <v>358</v>
      </c>
      <c r="C58" s="32">
        <f>APLICACION!C25+APLICACION!C36+APLICACION!C80+APLICACION!C91+APLICACION!C100+APLICACION!C118+APLICACION!C124+APLICACION!C160+APLICACION!C179</f>
        <v>0</v>
      </c>
      <c r="D58" s="32">
        <f>IF(C58=0,'PERCENTIL GROSSMAN'!B41,IF(C58=1,'PERCENTIL GROSSMAN'!D41,IF(C58=2,'PERCENTIL GROSSMAN'!F41,IF(C58=3,'PERCENTIL GROSSMAN'!H41,IF(C58=4,'PERCENTIL GROSSMAN'!J41,IF(C58=5,'PERCENTIL GROSSMAN'!L41,IF(C58=6,'PERCENTIL GROSSMAN'!N41,IF(C58=7,'PERCENTIL GROSSMAN'!P41,IF(C58=8,'PERCENTIL GROSSMAN'!R41,IF(C58=9,'PERCENTIL GROSSMAN'!T41))))))))))</f>
        <v>0</v>
      </c>
      <c r="E58" s="33" t="str" cm="1">
        <f t="array" ref="E58">+_xlfn.IFS(D58&lt;60,"Normal",D58&lt;=61,"Riesgo",D58&lt;75,"Riesgo",D58&lt;=75,"Trastorno indicado",D58&lt;=84,"Trastorno indicado",D58&gt;=85,"Riesgo Psiquiatrico")</f>
        <v>Normal</v>
      </c>
    </row>
    <row r="59" spans="1:5">
      <c r="A59" s="39" t="s">
        <v>267</v>
      </c>
      <c r="B59" s="39" t="s">
        <v>268</v>
      </c>
      <c r="C59" s="40"/>
      <c r="D59" s="30">
        <f>CORRECCION!D32</f>
        <v>0</v>
      </c>
      <c r="E59" s="25" t="str" cm="1">
        <f t="array" ref="E59">+_xlfn.IFS(D59&lt;60,"Normal",D59&lt;=61,"Riesgo",D59&lt;75,"Riesgo",D59&lt;=75,"Trastorno indicado",D59&lt;=84,"Trastorno indicado",D59&gt;=85,"Riesgo Psiquiatrico")</f>
        <v>Normal</v>
      </c>
    </row>
    <row r="60" spans="1:5" s="22" customFormat="1">
      <c r="A60" s="41" t="s">
        <v>359</v>
      </c>
      <c r="B60" s="37" t="s">
        <v>360</v>
      </c>
      <c r="C60" s="32">
        <f>APLICACION!C26+APLICACION!C82+APLICACION!C113+APLICACION!C123+APLICACION!C163+APLICACION!C168+APLICACION!C182+APLICACION!C190</f>
        <v>0</v>
      </c>
      <c r="D60" s="32">
        <f>IF(C60=0,'PERCENTIL GROSSMAN'!B42,IF(C60=1,'PERCENTIL GROSSMAN'!D42,IF(C60=2,'PERCENTIL GROSSMAN'!F42,IF(C60=3,'PERCENTIL GROSSMAN'!H42,IF(C60=4,'PERCENTIL GROSSMAN'!J42,IF(C60=5,'PERCENTIL GROSSMAN'!L42,IF(C60=6,'PERCENTIL GROSSMAN'!N42,IF(C60=7,'PERCENTIL GROSSMAN'!P42,IF(C60=8,'PERCENTIL GROSSMAN'!R42,IF(C60=9,'PERCENTIL GROSSMAN'!T42))))))))))</f>
        <v>0</v>
      </c>
      <c r="E60" s="33" t="str" cm="1">
        <f t="array" ref="E60">+_xlfn.IFS(D60&lt;60,"Normal",D60&lt;=61,"Riesgo",D60&lt;75,"Riesgo",D60&lt;=75,"Trastorno indicado",D60&lt;=84,"Trastorno indicado",D60&gt;=85,"Riesgo Psiquiatrico")</f>
        <v>Normal</v>
      </c>
    </row>
    <row r="61" spans="1:5" s="22" customFormat="1">
      <c r="A61" s="41" t="s">
        <v>361</v>
      </c>
      <c r="B61" s="37" t="s">
        <v>362</v>
      </c>
      <c r="C61" s="32">
        <f>APLICACION!C16+APLICACION!C29+APLICACION!C51+APLICACION!C71+APLICACION!C105+APLICACION!C112+APLICACION!C138+APLICACION!C146+APLICACION!C178</f>
        <v>0</v>
      </c>
      <c r="D61" s="32">
        <f>IF(C61=0,'PERCENTIL GROSSMAN'!B43,IF(C61=1,'PERCENTIL GROSSMAN'!D43,IF(C61=2,'PERCENTIL GROSSMAN'!F43,IF(C61=3,'PERCENTIL GROSSMAN'!H43,IF(C61=4,'PERCENTIL GROSSMAN'!J43,IF(C61=5,'PERCENTIL GROSSMAN'!L43,IF(C61=6,'PERCENTIL GROSSMAN'!N43,IF(C61=7,'PERCENTIL GROSSMAN'!P43,IF(C61=8,'PERCENTIL GROSSMAN'!R43,IF(C61=9,'PERCENTIL GROSSMAN'!T43))))))))))</f>
        <v>0</v>
      </c>
      <c r="E61" s="33" t="str" cm="1">
        <f t="array" ref="E61">+_xlfn.IFS(D61&lt;60,"Normal",D61&lt;=61,"Riesgo",D61&lt;75,"Riesgo",D61&lt;=75,"Trastorno indicado",D61&lt;=84,"Trastorno indicado",D61&gt;=85,"Riesgo Psiquiatrico")</f>
        <v>Normal</v>
      </c>
    </row>
    <row r="62" spans="1:5" s="22" customFormat="1">
      <c r="A62" s="41" t="s">
        <v>363</v>
      </c>
      <c r="B62" s="37" t="s">
        <v>364</v>
      </c>
      <c r="C62" s="32">
        <f>APLICACION!C28+APLICACION!C30+APLICACION!C49+APLICACION!C86+APLICACION!C92+APLICACION!C94+APLICACION!C127+APLICACION!C149+APLICACION!C176</f>
        <v>0</v>
      </c>
      <c r="D62" s="32">
        <f>IF(C62=0,'PERCENTIL GROSSMAN'!B44,IF(C62=1,'PERCENTIL GROSSMAN'!D44,IF(C62=2,'PERCENTIL GROSSMAN'!F44,IF(C62=3,'PERCENTIL GROSSMAN'!H44,IF(C62=4,'PERCENTIL GROSSMAN'!J44,IF(C62=5,'PERCENTIL GROSSMAN'!L44,IF(C62=6,'PERCENTIL GROSSMAN'!N44,IF(C62=7,'PERCENTIL GROSSMAN'!P44,IF(C62=8,'PERCENTIL GROSSMAN'!R44,IF(C62=9,'PERCENTIL GROSSMAN'!T44))))))))))</f>
        <v>0</v>
      </c>
      <c r="E62" s="33" t="str" cm="1">
        <f t="array" ref="E62">+_xlfn.IFS(D62&lt;60,"Normal",D62&lt;=61,"Riesgo",D62&lt;75,"Riesgo",D62&lt;=75,"Trastorno indicado",D62&lt;=84,"Trastorno indicado",D62&gt;=85,"Riesgo Psiquiatrico")</f>
        <v>Normal</v>
      </c>
    </row>
    <row r="63" spans="1:5">
      <c r="A63" s="39" t="s">
        <v>269</v>
      </c>
      <c r="B63" s="39" t="s">
        <v>270</v>
      </c>
      <c r="C63" s="40"/>
      <c r="D63" s="30">
        <f>CORRECCION!D33</f>
        <v>0</v>
      </c>
      <c r="E63" s="25" t="str" cm="1">
        <f t="array" ref="E63">+_xlfn.IFS(D63&lt;60,"Normal",D63&lt;=61,"Riesgo",D63&lt;75,"Riesgo",D63&lt;=75,"Trastorno indicado",D63&lt;=84,"Trastorno indicado",D63&gt;=85,"Riesgo Psiquiatrico")</f>
        <v>Normal</v>
      </c>
    </row>
    <row r="64" spans="1:5" s="22" customFormat="1">
      <c r="A64" s="41" t="s">
        <v>365</v>
      </c>
      <c r="B64" s="41" t="s">
        <v>366</v>
      </c>
      <c r="C64" s="32">
        <f>APLICACION!C24+APLICACION!C27+APLICACION!C33+APLICACION!C36+APLICACION!C116+APLICACION!C161+APLICACION!C165+APLICACION!C192+APLICACION!C207</f>
        <v>0</v>
      </c>
      <c r="D64" s="32">
        <f>IF(C64=0,'PERCENTIL GROSSMAN'!B45,IF(C64=1,'PERCENTIL GROSSMAN'!D45,IF(C64=2,'PERCENTIL GROSSMAN'!F45,IF(C64=3,'PERCENTIL GROSSMAN'!H45,IF(C64=4,'PERCENTIL GROSSMAN'!J45,IF(C64=5,'PERCENTIL GROSSMAN'!L45,IF(C64=6,'PERCENTIL GROSSMAN'!N45,IF(C64=7,'PERCENTIL GROSSMAN'!P45,IF(C64=8,'PERCENTIL GROSSMAN'!R45,IF(C64=9,'PERCENTIL GROSSMAN'!T45))))))))))</f>
        <v>0</v>
      </c>
      <c r="E64" s="33" t="str" cm="1">
        <f t="array" ref="E64">+_xlfn.IFS(D64&lt;60,"Normal",D64&lt;=61,"Riesgo",D64&lt;75,"Riesgo",D64&lt;=75,"Trastorno indicado",D64&lt;=84,"Trastorno indicado",D64&gt;=85,"Riesgo Psiquiatrico")</f>
        <v>Normal</v>
      </c>
    </row>
    <row r="65" spans="1:5" s="22" customFormat="1">
      <c r="A65" s="41" t="s">
        <v>367</v>
      </c>
      <c r="B65" s="41" t="s">
        <v>368</v>
      </c>
      <c r="C65" s="32">
        <f>APLICACION!C29+APLICACION!C64+APLICACION!C91+APLICACION!C100+APLICACION!C184+APLICACION!C194+APLICACION!C196</f>
        <v>0</v>
      </c>
      <c r="D65" s="32">
        <f>IF(C65=0,'PERCENTIL GROSSMAN'!B46,IF(C65=1,'PERCENTIL GROSSMAN'!D46,IF(C65=2,'PERCENTIL GROSSMAN'!F46,IF(C65=3,'PERCENTIL GROSSMAN'!H46,IF(C65=4,'PERCENTIL GROSSMAN'!J46,IF(C65=5,'PERCENTIL GROSSMAN'!L46,IF(C65=6,'PERCENTIL GROSSMAN'!N46,IF(C65=7,'PERCENTIL GROSSMAN'!P46,IF(C65=8,'PERCENTIL GROSSMAN'!R46,IF(C65=9,'PERCENTIL GROSSMAN'!T46))))))))))</f>
        <v>0</v>
      </c>
      <c r="E65" s="33" t="str" cm="1">
        <f t="array" ref="E65">+_xlfn.IFS(D65&lt;60,"Normal",D65&lt;=61,"Riesgo",D65&lt;75,"Riesgo",D65&lt;=75,"Trastorno indicado",D65&lt;=84,"Trastorno indicado",D65&gt;=85,"Riesgo Psiquiatrico")</f>
        <v>Normal</v>
      </c>
    </row>
    <row r="66" spans="1:5" s="22" customFormat="1">
      <c r="A66" s="41" t="s">
        <v>369</v>
      </c>
      <c r="B66" s="41" t="s">
        <v>370</v>
      </c>
      <c r="C66" s="32">
        <f>APLICACION!C25+APLICACION!C44+APLICACION!C80+APLICACION!C108+APLICACION!C118+APLICACION!C124+APLICACION!C134+APLICACION!C148+APLICACION!C160</f>
        <v>0</v>
      </c>
      <c r="D66" s="32">
        <f>IF(C66=0,'PERCENTIL GROSSMAN'!B47,IF(C66=1,'PERCENTIL GROSSMAN'!D47,IF(C66=2,'PERCENTIL GROSSMAN'!F47,IF(C66=3,'PERCENTIL GROSSMAN'!H47,IF(C66=4,'PERCENTIL GROSSMAN'!J47,IF(C66=5,'PERCENTIL GROSSMAN'!L47,IF(C66=6,'PERCENTIL GROSSMAN'!N47,IF(C66=7,'PERCENTIL GROSSMAN'!P47,IF(C66=8,'PERCENTIL GROSSMAN'!R47,IF(C66=9,'PERCENTIL GROSSMAN'!T47))))))))))</f>
        <v>0</v>
      </c>
      <c r="E66" s="33" t="str" cm="1">
        <f t="array" ref="E66">+_xlfn.IFS(D66&lt;60,"Normal",D66&lt;=61,"Riesgo",D66&lt;75,"Riesgo",D66&lt;=75,"Trastorno indicado",D66&lt;=84,"Trastorno indicado",D66&gt;=85,"Riesgo Psiquiatrico")</f>
        <v>Normal</v>
      </c>
    </row>
    <row r="67" spans="1:5">
      <c r="A67" s="42"/>
      <c r="B67" s="42"/>
    </row>
  </sheetData>
  <sheetProtection algorithmName="SHA-512" hashValue="4nFvyMfYGmi7KKFXlvxvxM/lDJhcrmDlOmvEQBB+2gp2xNMbVftAfwTPatV2jCXjCIqZKKbRsivo9FzW/f4RrQ==" saltValue="bbPb/PftafIzCJm0vKzN+g==" spinCount="100000" sheet="1" objects="1" scenarios="1"/>
  <mergeCells count="1">
    <mergeCell ref="A6:B6"/>
  </mergeCells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8:F21"/>
  <sheetViews>
    <sheetView showGridLines="0" workbookViewId="0">
      <selection activeCell="D21" sqref="A8:D21"/>
    </sheetView>
  </sheetViews>
  <sheetFormatPr baseColWidth="10" defaultColWidth="9.140625" defaultRowHeight="15"/>
  <cols>
    <col min="1" max="1" width="4.85546875" style="10" customWidth="1"/>
    <col min="2" max="2" width="30.28515625" style="10" customWidth="1"/>
    <col min="3" max="3" width="4.85546875" style="10" customWidth="1"/>
    <col min="4" max="4" width="6.5703125" style="10" customWidth="1"/>
    <col min="5" max="5" width="4.85546875" style="10" customWidth="1"/>
    <col min="6" max="6" width="4.85546875" style="11" customWidth="1"/>
    <col min="7" max="55" width="4.85546875" style="10" customWidth="1"/>
    <col min="56" max="16384" width="9.140625" style="10"/>
  </cols>
  <sheetData>
    <row r="8" spans="1:6">
      <c r="A8" s="98" t="s">
        <v>371</v>
      </c>
      <c r="B8" s="98"/>
      <c r="C8" s="12" t="s">
        <v>231</v>
      </c>
      <c r="D8" s="13" t="s">
        <v>372</v>
      </c>
    </row>
    <row r="9" spans="1:6">
      <c r="A9" s="14">
        <v>1</v>
      </c>
      <c r="B9" s="15" t="s">
        <v>373</v>
      </c>
      <c r="C9" s="16">
        <f>APLICACION!C68+APLICACION!C75+APLICACION!C89+APLICACION!C94+APLICACION!C104+APLICACION!C120</f>
        <v>0</v>
      </c>
      <c r="D9" s="17">
        <f t="shared" ref="D9:D14" si="0">((C9/F9))</f>
        <v>0</v>
      </c>
      <c r="F9" s="11">
        <v>6</v>
      </c>
    </row>
    <row r="10" spans="1:6">
      <c r="A10" s="14">
        <v>2</v>
      </c>
      <c r="B10" s="15" t="s">
        <v>374</v>
      </c>
      <c r="C10" s="16">
        <f>APLICACION!C104+APLICACION!C131+APLICACION!C150+APLICACION!C175+APLICACION!C177+APLICACION!C191+APLICACION!C202</f>
        <v>0</v>
      </c>
      <c r="D10" s="17">
        <f t="shared" si="0"/>
        <v>0</v>
      </c>
      <c r="F10" s="11">
        <v>7</v>
      </c>
    </row>
    <row r="11" spans="1:6">
      <c r="A11" s="14">
        <v>3</v>
      </c>
      <c r="B11" s="18" t="s">
        <v>375</v>
      </c>
      <c r="C11" s="19">
        <f>APLICACION!C59+APLICACION!C169</f>
        <v>0</v>
      </c>
      <c r="D11" s="20">
        <f t="shared" si="0"/>
        <v>0</v>
      </c>
      <c r="F11" s="11">
        <v>2</v>
      </c>
    </row>
    <row r="12" spans="1:6">
      <c r="A12" s="14">
        <v>4</v>
      </c>
      <c r="B12" s="18" t="s">
        <v>376</v>
      </c>
      <c r="C12" s="19">
        <f>APLICACION!C81+APLICACION!C98+APLICACION!C114+APLICACION!C198</f>
        <v>0</v>
      </c>
      <c r="D12" s="20">
        <f t="shared" si="0"/>
        <v>0</v>
      </c>
      <c r="F12" s="11">
        <v>4</v>
      </c>
    </row>
    <row r="13" spans="1:6">
      <c r="A13" s="14">
        <v>5</v>
      </c>
      <c r="B13" s="15" t="s">
        <v>377</v>
      </c>
      <c r="C13" s="16">
        <f>APLICACION!C39+APLICACION!C48+APLICACION!C57+APLICACION!C68+APLICACION!C84+APLICACION!C92+APLICACION!C139+APLICACION!C189</f>
        <v>0</v>
      </c>
      <c r="D13" s="17">
        <f t="shared" si="0"/>
        <v>0</v>
      </c>
      <c r="F13" s="11">
        <v>8</v>
      </c>
    </row>
    <row r="14" spans="1:6">
      <c r="A14" s="14">
        <v>6</v>
      </c>
      <c r="B14" s="15" t="s">
        <v>378</v>
      </c>
      <c r="C14" s="16">
        <f>APLICACION!C23+APLICACION!C86+APLICACION!C127+APLICACION!C157+APLICACION!C180+APLICACION!C203</f>
        <v>0</v>
      </c>
      <c r="D14" s="17">
        <f t="shared" si="0"/>
        <v>0</v>
      </c>
      <c r="F14" s="11">
        <v>6</v>
      </c>
    </row>
    <row r="15" spans="1:6">
      <c r="A15" s="14">
        <v>7</v>
      </c>
      <c r="B15" s="15" t="s">
        <v>379</v>
      </c>
      <c r="C15" s="16">
        <f>APLICACION!C19+APLICACION!C53+APLICACION!C69+APLICACION!C125+APLICACION!C132+APLICACION!C158</f>
        <v>0</v>
      </c>
      <c r="D15" s="17">
        <f t="shared" ref="D15:D21" si="1">((C15/F15))</f>
        <v>0</v>
      </c>
      <c r="F15" s="11">
        <v>6</v>
      </c>
    </row>
    <row r="16" spans="1:6">
      <c r="A16" s="14">
        <v>8</v>
      </c>
      <c r="B16" s="21" t="s">
        <v>380</v>
      </c>
      <c r="C16" s="16">
        <f>APLICACION!C16+APLICACION!C116+APLICACION!C194+APLICACION!C202</f>
        <v>0</v>
      </c>
      <c r="D16" s="17">
        <f t="shared" si="1"/>
        <v>0</v>
      </c>
      <c r="F16" s="11">
        <v>4</v>
      </c>
    </row>
    <row r="17" spans="1:6">
      <c r="A17" s="14">
        <v>9</v>
      </c>
      <c r="B17" s="18" t="s">
        <v>381</v>
      </c>
      <c r="C17" s="19">
        <f>APLICACION!C136+APLICACION!C188</f>
        <v>0</v>
      </c>
      <c r="D17" s="20">
        <f t="shared" si="1"/>
        <v>0</v>
      </c>
      <c r="F17" s="11">
        <v>2</v>
      </c>
    </row>
    <row r="18" spans="1:6">
      <c r="A18" s="14">
        <v>10</v>
      </c>
      <c r="B18" s="15" t="s">
        <v>382</v>
      </c>
      <c r="C18" s="16">
        <f>APLICACION!C26+APLICACION!C44+APLICACION!C46+APLICACION!C51+APLICACION!C71+APLICACION!C90+APLICACION!C113+APLICACION!C119+APLICACION!C126+APLICACION!C138+APLICACION!C163+APLICACION!C176</f>
        <v>0</v>
      </c>
      <c r="D18" s="17">
        <f t="shared" si="1"/>
        <v>0</v>
      </c>
      <c r="F18" s="11">
        <v>12</v>
      </c>
    </row>
    <row r="19" spans="1:6">
      <c r="A19" s="14">
        <v>11</v>
      </c>
      <c r="B19" s="18" t="s">
        <v>383</v>
      </c>
      <c r="C19" s="19">
        <f>APLICACION!C52+APLICACION!C193</f>
        <v>0</v>
      </c>
      <c r="D19" s="20">
        <f t="shared" si="1"/>
        <v>0</v>
      </c>
      <c r="F19" s="11">
        <v>2</v>
      </c>
    </row>
    <row r="20" spans="1:6">
      <c r="A20" s="14">
        <v>12</v>
      </c>
      <c r="B20" s="18" t="s">
        <v>384</v>
      </c>
      <c r="C20" s="19">
        <f>APLICACION!C67+APLICACION!C122</f>
        <v>0</v>
      </c>
      <c r="D20" s="20">
        <f t="shared" si="1"/>
        <v>0</v>
      </c>
      <c r="F20" s="11">
        <v>2</v>
      </c>
    </row>
    <row r="21" spans="1:6">
      <c r="A21" s="14">
        <v>13</v>
      </c>
      <c r="B21" s="15" t="s">
        <v>385</v>
      </c>
      <c r="C21" s="16">
        <f>APLICACION!C34+APLICACION!C49+APLICACION!C112+APLICACION!C115+APLICACION!C148+APLICACION!C179+APLICACION!C190+APLICACION!C204</f>
        <v>0</v>
      </c>
      <c r="D21" s="17">
        <f t="shared" si="1"/>
        <v>0</v>
      </c>
      <c r="F21" s="11">
        <v>8</v>
      </c>
    </row>
  </sheetData>
  <sheetProtection algorithmName="SHA-512" hashValue="StYge/MNMMWY3Mz06Pdn4xrnbX/RhIOcx1iCvcQgwwCU/VgtZV9RxsF4zrPDcgjTisTW6O5TvGDzLyYuqGvuRA==" saltValue="wPnxOEijxdBNdE48lMOUPA==" spinCount="100000" sheet="1" objects="1" scenarios="1"/>
  <mergeCells count="1">
    <mergeCell ref="A8:B8"/>
  </mergeCells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baseColWidth="10" defaultColWidth="9.140625" defaultRowHeight="15"/>
  <sheetData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2:D117"/>
  <sheetViews>
    <sheetView topLeftCell="A9" workbookViewId="0">
      <selection activeCell="E20" sqref="E20"/>
    </sheetView>
  </sheetViews>
  <sheetFormatPr baseColWidth="10" defaultColWidth="9.140625" defaultRowHeight="15"/>
  <sheetData>
    <row r="2" spans="1:4">
      <c r="B2" s="4" t="s">
        <v>237</v>
      </c>
      <c r="C2" s="4" t="s">
        <v>239</v>
      </c>
      <c r="D2" s="4" t="s">
        <v>241</v>
      </c>
    </row>
    <row r="3" spans="1:4">
      <c r="A3">
        <v>0</v>
      </c>
      <c r="B3" s="4"/>
      <c r="C3" s="4">
        <v>0</v>
      </c>
      <c r="D3" s="4">
        <v>0</v>
      </c>
    </row>
    <row r="4" spans="1:4">
      <c r="A4">
        <v>1</v>
      </c>
      <c r="B4" s="4"/>
      <c r="C4" s="4">
        <v>5</v>
      </c>
      <c r="D4" s="4">
        <v>12</v>
      </c>
    </row>
    <row r="5" spans="1:4">
      <c r="A5">
        <v>2</v>
      </c>
      <c r="B5" s="4"/>
      <c r="C5" s="4">
        <v>10</v>
      </c>
      <c r="D5" s="4">
        <v>23</v>
      </c>
    </row>
    <row r="6" spans="1:4">
      <c r="A6">
        <v>3</v>
      </c>
      <c r="B6" s="4"/>
      <c r="C6" s="4">
        <v>15</v>
      </c>
      <c r="D6" s="4">
        <v>35</v>
      </c>
    </row>
    <row r="7" spans="1:4">
      <c r="A7">
        <v>4</v>
      </c>
      <c r="B7" s="4"/>
      <c r="C7" s="4">
        <v>20</v>
      </c>
      <c r="D7" s="4">
        <v>37</v>
      </c>
    </row>
    <row r="8" spans="1:4">
      <c r="A8">
        <v>5</v>
      </c>
      <c r="B8" s="4"/>
      <c r="C8" s="4">
        <v>25</v>
      </c>
      <c r="D8" s="4">
        <v>40</v>
      </c>
    </row>
    <row r="9" spans="1:4">
      <c r="A9">
        <v>6</v>
      </c>
      <c r="B9" s="4"/>
      <c r="C9" s="4">
        <v>30</v>
      </c>
      <c r="D9" s="4">
        <v>42</v>
      </c>
    </row>
    <row r="10" spans="1:4">
      <c r="A10">
        <v>7</v>
      </c>
      <c r="B10" s="4">
        <v>0</v>
      </c>
      <c r="C10" s="4">
        <v>35</v>
      </c>
      <c r="D10" s="4">
        <v>44</v>
      </c>
    </row>
    <row r="11" spans="1:4">
      <c r="A11">
        <v>8</v>
      </c>
      <c r="B11" s="4">
        <v>2</v>
      </c>
      <c r="C11" s="4">
        <v>39</v>
      </c>
      <c r="D11" s="4">
        <v>47</v>
      </c>
    </row>
    <row r="12" spans="1:4">
      <c r="A12">
        <v>9</v>
      </c>
      <c r="B12" s="4">
        <v>3</v>
      </c>
      <c r="C12" s="4">
        <v>43</v>
      </c>
      <c r="D12" s="4">
        <v>49</v>
      </c>
    </row>
    <row r="13" spans="1:4">
      <c r="A13">
        <v>10</v>
      </c>
      <c r="B13" s="4">
        <v>5</v>
      </c>
      <c r="C13" s="4">
        <v>47</v>
      </c>
      <c r="D13" s="4">
        <v>51</v>
      </c>
    </row>
    <row r="14" spans="1:4">
      <c r="A14">
        <v>11</v>
      </c>
      <c r="B14" s="4">
        <v>6</v>
      </c>
      <c r="C14" s="4">
        <v>51</v>
      </c>
      <c r="D14" s="4">
        <v>54</v>
      </c>
    </row>
    <row r="15" spans="1:4">
      <c r="A15">
        <v>12</v>
      </c>
      <c r="B15" s="4">
        <v>8</v>
      </c>
      <c r="C15" s="4">
        <v>55</v>
      </c>
      <c r="D15" s="4">
        <v>56</v>
      </c>
    </row>
    <row r="16" spans="1:4">
      <c r="A16">
        <v>13</v>
      </c>
      <c r="B16" s="4">
        <v>10</v>
      </c>
      <c r="C16" s="4">
        <v>59</v>
      </c>
      <c r="D16" s="4">
        <v>59</v>
      </c>
    </row>
    <row r="17" spans="1:4">
      <c r="A17">
        <v>14</v>
      </c>
      <c r="B17" s="4">
        <v>11</v>
      </c>
      <c r="C17" s="4">
        <v>63</v>
      </c>
      <c r="D17" s="4">
        <v>61</v>
      </c>
    </row>
    <row r="18" spans="1:4">
      <c r="A18">
        <v>15</v>
      </c>
      <c r="B18" s="4">
        <v>13</v>
      </c>
      <c r="C18" s="4">
        <v>67</v>
      </c>
      <c r="D18" s="4">
        <v>63</v>
      </c>
    </row>
    <row r="19" spans="1:4">
      <c r="A19">
        <v>16</v>
      </c>
      <c r="B19" s="4">
        <v>14</v>
      </c>
      <c r="C19" s="4">
        <v>71</v>
      </c>
      <c r="D19" s="4">
        <v>66</v>
      </c>
    </row>
    <row r="20" spans="1:4">
      <c r="A20">
        <v>17</v>
      </c>
      <c r="B20" s="4">
        <v>16</v>
      </c>
      <c r="C20" s="4">
        <v>75</v>
      </c>
      <c r="D20" s="4">
        <v>68</v>
      </c>
    </row>
    <row r="21" spans="1:4">
      <c r="A21">
        <v>18</v>
      </c>
      <c r="B21" s="4">
        <v>18</v>
      </c>
      <c r="C21" s="4">
        <v>78</v>
      </c>
      <c r="D21" s="4">
        <v>70</v>
      </c>
    </row>
    <row r="22" spans="1:4">
      <c r="A22">
        <v>19</v>
      </c>
      <c r="B22" s="4">
        <v>19</v>
      </c>
      <c r="C22" s="4">
        <v>80</v>
      </c>
      <c r="D22" s="4">
        <v>73</v>
      </c>
    </row>
    <row r="23" spans="1:4">
      <c r="A23">
        <v>20</v>
      </c>
      <c r="B23" s="4">
        <v>21</v>
      </c>
      <c r="C23" s="4">
        <v>83</v>
      </c>
      <c r="D23" s="4">
        <v>75</v>
      </c>
    </row>
    <row r="24" spans="1:4">
      <c r="A24">
        <v>21</v>
      </c>
      <c r="B24" s="4">
        <v>22</v>
      </c>
      <c r="C24" s="4">
        <v>85</v>
      </c>
      <c r="D24" s="4">
        <v>77</v>
      </c>
    </row>
    <row r="25" spans="1:4">
      <c r="A25">
        <v>22</v>
      </c>
      <c r="B25" s="4">
        <v>24</v>
      </c>
      <c r="C25" s="4">
        <v>90</v>
      </c>
      <c r="D25" s="4">
        <v>78</v>
      </c>
    </row>
    <row r="26" spans="1:4">
      <c r="A26">
        <v>23</v>
      </c>
      <c r="B26" s="4">
        <v>25</v>
      </c>
      <c r="C26" s="4">
        <v>95</v>
      </c>
      <c r="D26" s="4">
        <v>80</v>
      </c>
    </row>
    <row r="27" spans="1:4">
      <c r="A27">
        <v>24</v>
      </c>
      <c r="B27" s="4">
        <v>27</v>
      </c>
      <c r="C27" s="4">
        <v>100</v>
      </c>
      <c r="D27" s="4">
        <v>82</v>
      </c>
    </row>
    <row r="28" spans="1:4">
      <c r="A28">
        <v>25</v>
      </c>
      <c r="B28" s="4">
        <v>29</v>
      </c>
      <c r="D28" s="4">
        <v>83</v>
      </c>
    </row>
    <row r="29" spans="1:4">
      <c r="A29">
        <v>26</v>
      </c>
      <c r="B29" s="4">
        <v>30</v>
      </c>
      <c r="D29" s="4">
        <v>85</v>
      </c>
    </row>
    <row r="30" spans="1:4">
      <c r="A30">
        <v>27</v>
      </c>
      <c r="B30" s="4">
        <v>32</v>
      </c>
      <c r="D30" s="4">
        <v>89</v>
      </c>
    </row>
    <row r="31" spans="1:4">
      <c r="A31">
        <v>28</v>
      </c>
      <c r="B31" s="4">
        <v>33</v>
      </c>
      <c r="D31" s="4">
        <v>93</v>
      </c>
    </row>
    <row r="32" spans="1:4">
      <c r="A32">
        <v>29</v>
      </c>
      <c r="B32" s="4">
        <v>35</v>
      </c>
      <c r="D32" s="4">
        <v>96</v>
      </c>
    </row>
    <row r="33" spans="1:4">
      <c r="A33">
        <v>30</v>
      </c>
      <c r="B33" s="4">
        <v>36</v>
      </c>
      <c r="D33" s="4">
        <v>100</v>
      </c>
    </row>
    <row r="34" spans="1:4">
      <c r="A34">
        <v>31</v>
      </c>
      <c r="B34" s="4">
        <v>38</v>
      </c>
    </row>
    <row r="35" spans="1:4">
      <c r="A35">
        <v>32</v>
      </c>
      <c r="B35" s="4">
        <v>39</v>
      </c>
    </row>
    <row r="36" spans="1:4">
      <c r="A36">
        <v>33</v>
      </c>
      <c r="B36" s="4">
        <v>40</v>
      </c>
    </row>
    <row r="37" spans="1:4">
      <c r="A37">
        <v>34</v>
      </c>
      <c r="B37" s="4">
        <v>41</v>
      </c>
    </row>
    <row r="38" spans="1:4">
      <c r="A38">
        <v>35</v>
      </c>
      <c r="B38" s="4">
        <v>43</v>
      </c>
    </row>
    <row r="39" spans="1:4">
      <c r="A39">
        <v>36</v>
      </c>
      <c r="B39" s="4">
        <v>44</v>
      </c>
    </row>
    <row r="40" spans="1:4">
      <c r="A40">
        <v>37</v>
      </c>
      <c r="B40" s="4">
        <v>45</v>
      </c>
    </row>
    <row r="41" spans="1:4">
      <c r="A41">
        <v>38</v>
      </c>
      <c r="B41" s="4">
        <v>47</v>
      </c>
    </row>
    <row r="42" spans="1:4">
      <c r="A42">
        <v>39</v>
      </c>
      <c r="B42" s="4">
        <v>48</v>
      </c>
    </row>
    <row r="43" spans="1:4">
      <c r="A43">
        <v>40</v>
      </c>
      <c r="B43" s="4">
        <v>49</v>
      </c>
    </row>
    <row r="44" spans="1:4">
      <c r="A44">
        <v>41</v>
      </c>
      <c r="B44" s="4">
        <v>50</v>
      </c>
    </row>
    <row r="45" spans="1:4">
      <c r="A45">
        <v>42</v>
      </c>
      <c r="B45" s="4">
        <v>52</v>
      </c>
    </row>
    <row r="46" spans="1:4">
      <c r="A46">
        <v>43</v>
      </c>
      <c r="B46" s="4">
        <v>53</v>
      </c>
    </row>
    <row r="47" spans="1:4">
      <c r="A47">
        <v>44</v>
      </c>
      <c r="B47" s="4">
        <v>54</v>
      </c>
    </row>
    <row r="48" spans="1:4">
      <c r="A48">
        <v>45</v>
      </c>
      <c r="B48" s="4">
        <v>56</v>
      </c>
    </row>
    <row r="49" spans="1:2">
      <c r="A49">
        <v>46</v>
      </c>
      <c r="B49" s="4">
        <v>57</v>
      </c>
    </row>
    <row r="50" spans="1:2">
      <c r="A50">
        <v>47</v>
      </c>
      <c r="B50" s="4">
        <v>58</v>
      </c>
    </row>
    <row r="51" spans="1:2">
      <c r="A51">
        <v>48</v>
      </c>
      <c r="B51" s="4">
        <v>60</v>
      </c>
    </row>
    <row r="52" spans="1:2">
      <c r="A52">
        <v>49</v>
      </c>
      <c r="B52" s="4">
        <v>61</v>
      </c>
    </row>
    <row r="53" spans="1:2">
      <c r="A53">
        <v>50</v>
      </c>
      <c r="B53" s="4">
        <v>62</v>
      </c>
    </row>
    <row r="54" spans="1:2">
      <c r="A54">
        <v>51</v>
      </c>
      <c r="B54" s="4">
        <v>63</v>
      </c>
    </row>
    <row r="55" spans="1:2">
      <c r="A55">
        <v>52</v>
      </c>
      <c r="B55" s="4">
        <v>65</v>
      </c>
    </row>
    <row r="56" spans="1:2">
      <c r="A56">
        <v>53</v>
      </c>
      <c r="B56" s="4">
        <v>66</v>
      </c>
    </row>
    <row r="57" spans="1:2">
      <c r="A57">
        <v>54</v>
      </c>
      <c r="B57" s="4">
        <v>67</v>
      </c>
    </row>
    <row r="58" spans="1:2">
      <c r="A58">
        <v>55</v>
      </c>
      <c r="B58" s="4">
        <v>69</v>
      </c>
    </row>
    <row r="59" spans="1:2">
      <c r="A59">
        <v>56</v>
      </c>
      <c r="B59" s="4">
        <v>70</v>
      </c>
    </row>
    <row r="60" spans="1:2">
      <c r="A60">
        <v>57</v>
      </c>
      <c r="B60" s="4">
        <v>71</v>
      </c>
    </row>
    <row r="61" spans="1:2">
      <c r="A61">
        <v>58</v>
      </c>
      <c r="B61" s="4">
        <v>72</v>
      </c>
    </row>
    <row r="62" spans="1:2">
      <c r="A62">
        <v>59</v>
      </c>
      <c r="B62" s="4">
        <v>74</v>
      </c>
    </row>
    <row r="63" spans="1:2">
      <c r="A63">
        <v>60</v>
      </c>
      <c r="B63" s="4">
        <v>75</v>
      </c>
    </row>
    <row r="64" spans="1:2">
      <c r="A64">
        <v>61</v>
      </c>
      <c r="B64" s="4">
        <v>76</v>
      </c>
    </row>
    <row r="65" spans="1:2">
      <c r="A65">
        <v>62</v>
      </c>
      <c r="B65" s="4">
        <v>77</v>
      </c>
    </row>
    <row r="66" spans="1:2">
      <c r="A66">
        <v>63</v>
      </c>
      <c r="B66" s="4">
        <v>78</v>
      </c>
    </row>
    <row r="67" spans="1:2">
      <c r="A67">
        <v>64</v>
      </c>
      <c r="B67" s="4">
        <v>79</v>
      </c>
    </row>
    <row r="68" spans="1:2">
      <c r="A68">
        <v>65</v>
      </c>
      <c r="B68" s="4">
        <v>80</v>
      </c>
    </row>
    <row r="69" spans="1:2">
      <c r="A69">
        <v>66</v>
      </c>
      <c r="B69" s="4">
        <v>80</v>
      </c>
    </row>
    <row r="70" spans="1:2">
      <c r="A70">
        <v>67</v>
      </c>
      <c r="B70" s="4">
        <v>81</v>
      </c>
    </row>
    <row r="71" spans="1:2">
      <c r="A71">
        <v>68</v>
      </c>
      <c r="B71" s="4">
        <v>82</v>
      </c>
    </row>
    <row r="72" spans="1:2">
      <c r="A72">
        <v>69</v>
      </c>
      <c r="B72" s="4">
        <v>83</v>
      </c>
    </row>
    <row r="73" spans="1:2">
      <c r="A73">
        <v>70</v>
      </c>
      <c r="B73" s="4">
        <v>84</v>
      </c>
    </row>
    <row r="74" spans="1:2">
      <c r="A74">
        <v>71</v>
      </c>
      <c r="B74" s="4">
        <v>85</v>
      </c>
    </row>
    <row r="75" spans="1:2">
      <c r="A75">
        <v>72</v>
      </c>
      <c r="B75" s="4">
        <v>86</v>
      </c>
    </row>
    <row r="76" spans="1:2">
      <c r="A76">
        <v>73</v>
      </c>
      <c r="B76" s="4">
        <v>86</v>
      </c>
    </row>
    <row r="77" spans="1:2">
      <c r="A77">
        <v>74</v>
      </c>
      <c r="B77" s="4">
        <v>87</v>
      </c>
    </row>
    <row r="78" spans="1:2">
      <c r="A78">
        <v>75</v>
      </c>
      <c r="B78" s="4">
        <v>87</v>
      </c>
    </row>
    <row r="79" spans="1:2">
      <c r="A79">
        <v>76</v>
      </c>
      <c r="B79" s="4">
        <v>88</v>
      </c>
    </row>
    <row r="80" spans="1:2">
      <c r="A80">
        <v>77</v>
      </c>
      <c r="B80" s="4">
        <v>88</v>
      </c>
    </row>
    <row r="81" spans="1:2">
      <c r="A81">
        <v>78</v>
      </c>
      <c r="B81" s="4">
        <v>89</v>
      </c>
    </row>
    <row r="82" spans="1:2">
      <c r="A82">
        <v>79</v>
      </c>
      <c r="B82" s="4">
        <v>89</v>
      </c>
    </row>
    <row r="83" spans="1:2">
      <c r="A83">
        <v>80</v>
      </c>
      <c r="B83" s="4">
        <v>90</v>
      </c>
    </row>
    <row r="84" spans="1:2">
      <c r="A84">
        <v>81</v>
      </c>
      <c r="B84" s="4">
        <v>90</v>
      </c>
    </row>
    <row r="85" spans="1:2">
      <c r="A85">
        <v>82</v>
      </c>
      <c r="B85" s="4">
        <v>91</v>
      </c>
    </row>
    <row r="86" spans="1:2">
      <c r="A86">
        <v>83</v>
      </c>
      <c r="B86" s="4">
        <v>91</v>
      </c>
    </row>
    <row r="87" spans="1:2">
      <c r="A87">
        <v>84</v>
      </c>
      <c r="B87" s="4">
        <v>92</v>
      </c>
    </row>
    <row r="88" spans="1:2">
      <c r="A88">
        <v>85</v>
      </c>
      <c r="B88" s="4">
        <v>93</v>
      </c>
    </row>
    <row r="89" spans="1:2">
      <c r="A89">
        <v>86</v>
      </c>
      <c r="B89" s="4">
        <v>93</v>
      </c>
    </row>
    <row r="90" spans="1:2">
      <c r="A90">
        <v>87</v>
      </c>
      <c r="B90" s="4">
        <v>94</v>
      </c>
    </row>
    <row r="91" spans="1:2">
      <c r="A91">
        <v>88</v>
      </c>
      <c r="B91" s="4">
        <v>94</v>
      </c>
    </row>
    <row r="92" spans="1:2">
      <c r="A92">
        <v>89</v>
      </c>
      <c r="B92" s="4">
        <v>95</v>
      </c>
    </row>
    <row r="93" spans="1:2">
      <c r="A93">
        <v>90</v>
      </c>
      <c r="B93" s="4">
        <v>95</v>
      </c>
    </row>
    <row r="94" spans="1:2">
      <c r="A94">
        <v>91</v>
      </c>
      <c r="B94" s="4">
        <v>96</v>
      </c>
    </row>
    <row r="95" spans="1:2">
      <c r="A95">
        <v>92</v>
      </c>
      <c r="B95" s="4">
        <v>96</v>
      </c>
    </row>
    <row r="96" spans="1:2">
      <c r="A96">
        <v>93</v>
      </c>
      <c r="B96" s="4">
        <v>97</v>
      </c>
    </row>
    <row r="97" spans="1:2">
      <c r="A97">
        <v>94</v>
      </c>
      <c r="B97" s="4">
        <v>97</v>
      </c>
    </row>
    <row r="98" spans="1:2">
      <c r="A98">
        <v>95</v>
      </c>
      <c r="B98" s="4">
        <v>98</v>
      </c>
    </row>
    <row r="99" spans="1:2">
      <c r="A99">
        <v>96</v>
      </c>
      <c r="B99" s="4">
        <v>98</v>
      </c>
    </row>
    <row r="100" spans="1:2">
      <c r="A100">
        <v>97</v>
      </c>
      <c r="B100" s="4">
        <v>99</v>
      </c>
    </row>
    <row r="101" spans="1:2">
      <c r="A101">
        <v>98</v>
      </c>
      <c r="B101" s="4">
        <v>99</v>
      </c>
    </row>
    <row r="102" spans="1:2">
      <c r="A102">
        <v>99</v>
      </c>
      <c r="B102" s="4">
        <v>100</v>
      </c>
    </row>
    <row r="103" spans="1:2">
      <c r="A103">
        <v>100</v>
      </c>
      <c r="B103" s="4">
        <v>100</v>
      </c>
    </row>
    <row r="104" spans="1:2">
      <c r="A104">
        <v>101</v>
      </c>
      <c r="B104" s="4">
        <v>100</v>
      </c>
    </row>
    <row r="105" spans="1:2">
      <c r="A105">
        <v>102</v>
      </c>
      <c r="B105" s="4">
        <v>100</v>
      </c>
    </row>
    <row r="106" spans="1:2">
      <c r="A106">
        <v>103</v>
      </c>
      <c r="B106" s="4">
        <v>100</v>
      </c>
    </row>
    <row r="107" spans="1:2">
      <c r="A107">
        <v>104</v>
      </c>
      <c r="B107" s="4">
        <v>100</v>
      </c>
    </row>
    <row r="108" spans="1:2">
      <c r="A108">
        <v>105</v>
      </c>
      <c r="B108" s="4">
        <v>100</v>
      </c>
    </row>
    <row r="109" spans="1:2">
      <c r="A109">
        <v>106</v>
      </c>
      <c r="B109" s="4">
        <v>100</v>
      </c>
    </row>
    <row r="110" spans="1:2">
      <c r="A110">
        <v>107</v>
      </c>
      <c r="B110" s="4">
        <v>100</v>
      </c>
    </row>
    <row r="111" spans="1:2">
      <c r="A111">
        <v>108</v>
      </c>
      <c r="B111" s="4">
        <v>100</v>
      </c>
    </row>
    <row r="112" spans="1:2">
      <c r="A112">
        <v>109</v>
      </c>
      <c r="B112" s="4">
        <v>100</v>
      </c>
    </row>
    <row r="113" spans="1:2">
      <c r="A113">
        <v>110</v>
      </c>
      <c r="B113" s="4">
        <v>100</v>
      </c>
    </row>
    <row r="114" spans="1:2">
      <c r="A114">
        <v>111</v>
      </c>
      <c r="B114" s="4">
        <v>100</v>
      </c>
    </row>
    <row r="115" spans="1:2">
      <c r="A115">
        <v>112</v>
      </c>
      <c r="B115" s="4">
        <v>100</v>
      </c>
    </row>
    <row r="116" spans="1:2">
      <c r="A116">
        <v>113</v>
      </c>
      <c r="B116" s="4">
        <v>100</v>
      </c>
    </row>
    <row r="117" spans="1:2">
      <c r="A117">
        <v>114</v>
      </c>
      <c r="B117" s="4">
        <v>100</v>
      </c>
    </row>
  </sheetData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2:AB33"/>
  <sheetViews>
    <sheetView zoomScale="70" zoomScaleNormal="70" workbookViewId="0">
      <selection activeCell="AA35" sqref="AA35"/>
    </sheetView>
  </sheetViews>
  <sheetFormatPr baseColWidth="10" defaultColWidth="4.7109375" defaultRowHeight="15"/>
  <cols>
    <col min="1" max="3" width="4.140625" style="4" customWidth="1"/>
    <col min="4" max="9" width="4.7109375" style="4"/>
    <col min="10" max="10" width="6.28515625" style="4" customWidth="1"/>
    <col min="11" max="16384" width="4.7109375" style="4"/>
  </cols>
  <sheetData>
    <row r="2" spans="1:28">
      <c r="A2" s="99" t="s">
        <v>386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</row>
    <row r="3" spans="1:28" ht="15" customHeight="1">
      <c r="B3" s="8" t="s">
        <v>387</v>
      </c>
      <c r="C3" s="8"/>
      <c r="D3" s="3">
        <v>1</v>
      </c>
      <c r="E3" s="3" t="s">
        <v>245</v>
      </c>
      <c r="F3" s="3" t="s">
        <v>247</v>
      </c>
      <c r="G3" s="3">
        <v>3</v>
      </c>
      <c r="H3" s="3" t="s">
        <v>250</v>
      </c>
      <c r="I3" s="3" t="s">
        <v>252</v>
      </c>
      <c r="J3" s="3">
        <v>5</v>
      </c>
      <c r="K3" s="3" t="s">
        <v>255</v>
      </c>
      <c r="L3" s="3" t="s">
        <v>257</v>
      </c>
      <c r="M3" s="3">
        <v>7</v>
      </c>
      <c r="N3" s="3" t="s">
        <v>260</v>
      </c>
      <c r="O3" s="3" t="s">
        <v>262</v>
      </c>
      <c r="P3" s="3" t="s">
        <v>265</v>
      </c>
      <c r="Q3" s="3" t="s">
        <v>267</v>
      </c>
      <c r="R3" s="3" t="s">
        <v>269</v>
      </c>
      <c r="S3" s="5" t="s">
        <v>272</v>
      </c>
      <c r="T3" s="3" t="s">
        <v>274</v>
      </c>
      <c r="U3" s="3" t="s">
        <v>276</v>
      </c>
      <c r="V3" s="3" t="s">
        <v>278</v>
      </c>
      <c r="W3" s="3" t="s">
        <v>280</v>
      </c>
      <c r="X3" s="3" t="s">
        <v>282</v>
      </c>
      <c r="Y3" s="3" t="s">
        <v>284</v>
      </c>
      <c r="Z3" s="3" t="s">
        <v>286</v>
      </c>
      <c r="AA3" s="3" t="s">
        <v>288</v>
      </c>
      <c r="AB3" s="3" t="s">
        <v>290</v>
      </c>
    </row>
    <row r="4" spans="1:28" ht="15.75">
      <c r="A4" s="7"/>
      <c r="B4" s="9">
        <v>0</v>
      </c>
      <c r="C4" s="7"/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0</v>
      </c>
      <c r="R4" s="4">
        <v>0</v>
      </c>
      <c r="S4" s="6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</row>
    <row r="5" spans="1:28" ht="15.75">
      <c r="B5" s="3">
        <v>1</v>
      </c>
      <c r="D5" s="4">
        <v>7</v>
      </c>
      <c r="E5" s="4">
        <v>6</v>
      </c>
      <c r="F5" s="4">
        <v>5</v>
      </c>
      <c r="G5" s="4">
        <v>6</v>
      </c>
      <c r="H5" s="4">
        <v>7</v>
      </c>
      <c r="I5" s="4">
        <v>6</v>
      </c>
      <c r="J5" s="4">
        <v>12</v>
      </c>
      <c r="K5" s="4">
        <v>20</v>
      </c>
      <c r="L5" s="4">
        <v>10</v>
      </c>
      <c r="M5" s="4">
        <v>4</v>
      </c>
      <c r="N5" s="4">
        <v>7</v>
      </c>
      <c r="O5" s="4">
        <v>8</v>
      </c>
      <c r="P5" s="4">
        <v>6</v>
      </c>
      <c r="Q5" s="4">
        <v>8</v>
      </c>
      <c r="R5" s="4">
        <v>9</v>
      </c>
      <c r="S5" s="6">
        <v>8</v>
      </c>
      <c r="T5" s="4">
        <v>10</v>
      </c>
      <c r="U5" s="4">
        <v>10</v>
      </c>
      <c r="V5" s="4">
        <v>5</v>
      </c>
      <c r="W5" s="4">
        <v>60</v>
      </c>
      <c r="X5" s="4">
        <v>60</v>
      </c>
      <c r="Y5" s="4">
        <v>12</v>
      </c>
      <c r="Z5" s="4">
        <v>7</v>
      </c>
      <c r="AA5" s="4">
        <v>9</v>
      </c>
      <c r="AB5" s="4">
        <v>30</v>
      </c>
    </row>
    <row r="6" spans="1:28" ht="15.75">
      <c r="B6" s="3">
        <v>2</v>
      </c>
      <c r="D6" s="4">
        <v>13</v>
      </c>
      <c r="E6" s="4">
        <v>12</v>
      </c>
      <c r="F6" s="4">
        <v>10</v>
      </c>
      <c r="G6" s="4">
        <v>12</v>
      </c>
      <c r="H6" s="4">
        <v>13</v>
      </c>
      <c r="I6" s="4">
        <v>12</v>
      </c>
      <c r="J6" s="4">
        <v>24</v>
      </c>
      <c r="K6" s="4">
        <v>40</v>
      </c>
      <c r="L6" s="4">
        <v>20</v>
      </c>
      <c r="M6" s="4">
        <v>8</v>
      </c>
      <c r="N6" s="4">
        <v>13</v>
      </c>
      <c r="O6" s="4">
        <v>15</v>
      </c>
      <c r="P6" s="4">
        <v>12</v>
      </c>
      <c r="Q6" s="4">
        <v>15</v>
      </c>
      <c r="R6" s="4">
        <v>17</v>
      </c>
      <c r="S6" s="6">
        <v>15</v>
      </c>
      <c r="T6" s="4">
        <v>20</v>
      </c>
      <c r="U6" s="4">
        <v>20</v>
      </c>
      <c r="V6" s="4">
        <v>10</v>
      </c>
      <c r="W6" s="4">
        <v>68</v>
      </c>
      <c r="X6" s="4">
        <v>62</v>
      </c>
      <c r="Y6" s="4">
        <v>24</v>
      </c>
      <c r="Z6" s="4">
        <v>13</v>
      </c>
      <c r="AA6" s="4">
        <v>17</v>
      </c>
      <c r="AB6" s="4">
        <v>60</v>
      </c>
    </row>
    <row r="7" spans="1:28" ht="15.75">
      <c r="B7" s="3">
        <v>3</v>
      </c>
      <c r="D7" s="4">
        <v>20</v>
      </c>
      <c r="E7" s="4">
        <v>18</v>
      </c>
      <c r="F7" s="4">
        <v>15</v>
      </c>
      <c r="G7" s="4">
        <v>18</v>
      </c>
      <c r="H7" s="4">
        <v>20</v>
      </c>
      <c r="I7" s="4">
        <v>18</v>
      </c>
      <c r="J7" s="4">
        <v>36</v>
      </c>
      <c r="K7" s="4">
        <v>60</v>
      </c>
      <c r="L7" s="4">
        <v>30</v>
      </c>
      <c r="M7" s="4">
        <v>11</v>
      </c>
      <c r="N7" s="4">
        <v>20</v>
      </c>
      <c r="O7" s="4">
        <v>23</v>
      </c>
      <c r="P7" s="4">
        <v>18</v>
      </c>
      <c r="Q7" s="4">
        <v>23</v>
      </c>
      <c r="R7" s="4">
        <v>26</v>
      </c>
      <c r="S7" s="6">
        <v>23</v>
      </c>
      <c r="T7" s="4">
        <v>30</v>
      </c>
      <c r="U7" s="4">
        <v>30</v>
      </c>
      <c r="V7" s="4">
        <v>15</v>
      </c>
      <c r="W7" s="4">
        <v>75</v>
      </c>
      <c r="X7" s="4">
        <v>64</v>
      </c>
      <c r="Y7" s="4">
        <v>36</v>
      </c>
      <c r="Z7" s="4">
        <v>20</v>
      </c>
      <c r="AA7" s="4">
        <v>26</v>
      </c>
      <c r="AB7" s="4">
        <v>62</v>
      </c>
    </row>
    <row r="8" spans="1:28" ht="15.75">
      <c r="B8" s="3">
        <v>4</v>
      </c>
      <c r="D8" s="4">
        <v>27</v>
      </c>
      <c r="E8" s="4">
        <v>24</v>
      </c>
      <c r="F8" s="4">
        <v>20</v>
      </c>
      <c r="G8" s="4">
        <v>24</v>
      </c>
      <c r="H8" s="4">
        <v>27</v>
      </c>
      <c r="I8" s="4">
        <v>24</v>
      </c>
      <c r="J8" s="4">
        <v>48</v>
      </c>
      <c r="K8" s="4">
        <v>62</v>
      </c>
      <c r="L8" s="4">
        <v>40</v>
      </c>
      <c r="M8" s="4">
        <v>15</v>
      </c>
      <c r="N8" s="4">
        <v>27</v>
      </c>
      <c r="O8" s="4">
        <v>30</v>
      </c>
      <c r="P8" s="4">
        <v>24</v>
      </c>
      <c r="Q8" s="4">
        <v>30</v>
      </c>
      <c r="R8" s="4">
        <v>34</v>
      </c>
      <c r="S8" s="6">
        <v>30</v>
      </c>
      <c r="T8" s="4">
        <v>40</v>
      </c>
      <c r="U8" s="4">
        <v>40</v>
      </c>
      <c r="V8" s="4">
        <v>20</v>
      </c>
      <c r="W8" s="4">
        <v>85</v>
      </c>
      <c r="X8" s="4">
        <v>66</v>
      </c>
      <c r="Y8" s="4">
        <v>48</v>
      </c>
      <c r="Z8" s="4">
        <v>27</v>
      </c>
      <c r="AA8" s="4">
        <v>34</v>
      </c>
      <c r="AB8" s="4">
        <v>64</v>
      </c>
    </row>
    <row r="9" spans="1:28" ht="15.75">
      <c r="B9" s="3">
        <v>5</v>
      </c>
      <c r="D9" s="4">
        <v>33</v>
      </c>
      <c r="E9" s="4">
        <v>30</v>
      </c>
      <c r="F9" s="4">
        <v>25</v>
      </c>
      <c r="G9" s="4">
        <v>30</v>
      </c>
      <c r="H9" s="4">
        <v>33</v>
      </c>
      <c r="I9" s="4">
        <v>30</v>
      </c>
      <c r="J9" s="4">
        <v>60</v>
      </c>
      <c r="K9" s="4">
        <v>64</v>
      </c>
      <c r="L9" s="4">
        <v>50</v>
      </c>
      <c r="M9" s="4">
        <v>19</v>
      </c>
      <c r="N9" s="4">
        <v>33</v>
      </c>
      <c r="O9" s="4">
        <v>38</v>
      </c>
      <c r="P9" s="4">
        <v>30</v>
      </c>
      <c r="Q9" s="4">
        <v>38</v>
      </c>
      <c r="R9" s="4">
        <v>43</v>
      </c>
      <c r="S9" s="6">
        <v>38</v>
      </c>
      <c r="T9" s="4">
        <v>50</v>
      </c>
      <c r="U9" s="4">
        <v>50</v>
      </c>
      <c r="V9" s="4">
        <v>25</v>
      </c>
      <c r="W9" s="4">
        <v>88</v>
      </c>
      <c r="X9" s="4">
        <v>68</v>
      </c>
      <c r="Y9" s="4">
        <v>60</v>
      </c>
      <c r="Z9" s="4">
        <v>33</v>
      </c>
      <c r="AA9" s="4">
        <v>43</v>
      </c>
      <c r="AB9" s="4">
        <v>66</v>
      </c>
    </row>
    <row r="10" spans="1:28" ht="15.75">
      <c r="B10" s="3">
        <v>6</v>
      </c>
      <c r="D10" s="4">
        <v>40</v>
      </c>
      <c r="E10" s="4">
        <v>36</v>
      </c>
      <c r="F10" s="4">
        <v>30</v>
      </c>
      <c r="G10" s="4">
        <v>36</v>
      </c>
      <c r="H10" s="4">
        <v>40</v>
      </c>
      <c r="I10" s="4">
        <v>36</v>
      </c>
      <c r="J10" s="4">
        <v>62</v>
      </c>
      <c r="K10" s="4">
        <v>66</v>
      </c>
      <c r="L10" s="4">
        <v>60</v>
      </c>
      <c r="M10" s="4">
        <v>23</v>
      </c>
      <c r="N10" s="4">
        <v>40</v>
      </c>
      <c r="O10" s="4">
        <v>45</v>
      </c>
      <c r="P10" s="4">
        <v>36</v>
      </c>
      <c r="Q10" s="4">
        <v>45</v>
      </c>
      <c r="R10" s="4">
        <v>51</v>
      </c>
      <c r="S10" s="6">
        <v>45</v>
      </c>
      <c r="T10" s="4">
        <v>60</v>
      </c>
      <c r="U10" s="4">
        <v>60</v>
      </c>
      <c r="V10" s="4">
        <v>30</v>
      </c>
      <c r="W10" s="4">
        <v>92</v>
      </c>
      <c r="X10" s="4">
        <v>69</v>
      </c>
      <c r="Y10" s="4">
        <v>62</v>
      </c>
      <c r="Z10" s="4">
        <v>40</v>
      </c>
      <c r="AA10" s="4">
        <v>51</v>
      </c>
      <c r="AB10" s="4">
        <v>69</v>
      </c>
    </row>
    <row r="11" spans="1:28" ht="15.75">
      <c r="B11" s="3">
        <v>7</v>
      </c>
      <c r="D11" s="4">
        <v>47</v>
      </c>
      <c r="E11" s="4">
        <v>42</v>
      </c>
      <c r="F11" s="4">
        <v>35</v>
      </c>
      <c r="G11" s="4">
        <v>42</v>
      </c>
      <c r="H11" s="4">
        <v>47</v>
      </c>
      <c r="I11" s="4">
        <v>42</v>
      </c>
      <c r="J11" s="4">
        <v>64</v>
      </c>
      <c r="K11" s="4">
        <v>69</v>
      </c>
      <c r="L11" s="4">
        <v>62</v>
      </c>
      <c r="M11" s="4">
        <v>26</v>
      </c>
      <c r="N11" s="4">
        <v>47</v>
      </c>
      <c r="O11" s="4">
        <v>53</v>
      </c>
      <c r="P11" s="4">
        <v>42</v>
      </c>
      <c r="Q11" s="4">
        <v>53</v>
      </c>
      <c r="R11" s="4">
        <v>60</v>
      </c>
      <c r="S11" s="6">
        <v>53</v>
      </c>
      <c r="T11" s="4">
        <v>64</v>
      </c>
      <c r="U11" s="4">
        <v>63</v>
      </c>
      <c r="V11" s="4">
        <v>35</v>
      </c>
      <c r="W11" s="4">
        <v>95</v>
      </c>
      <c r="X11" s="4">
        <v>71</v>
      </c>
      <c r="Y11" s="4">
        <v>64</v>
      </c>
      <c r="Z11" s="4">
        <v>47</v>
      </c>
      <c r="AA11" s="4">
        <v>60</v>
      </c>
      <c r="AB11" s="4">
        <v>71</v>
      </c>
    </row>
    <row r="12" spans="1:28" ht="15.75">
      <c r="B12" s="3">
        <v>8</v>
      </c>
      <c r="D12" s="4">
        <v>53</v>
      </c>
      <c r="E12" s="4">
        <v>48</v>
      </c>
      <c r="F12" s="4">
        <v>40</v>
      </c>
      <c r="G12" s="4">
        <v>48</v>
      </c>
      <c r="H12" s="4">
        <v>53</v>
      </c>
      <c r="I12" s="4">
        <v>48</v>
      </c>
      <c r="J12" s="4">
        <v>66</v>
      </c>
      <c r="K12" s="4">
        <v>71</v>
      </c>
      <c r="L12" s="4">
        <v>63</v>
      </c>
      <c r="M12" s="4">
        <v>30</v>
      </c>
      <c r="N12" s="4">
        <v>53</v>
      </c>
      <c r="O12" s="4">
        <v>60</v>
      </c>
      <c r="P12" s="4">
        <v>48</v>
      </c>
      <c r="Q12" s="4">
        <v>60</v>
      </c>
      <c r="R12" s="4">
        <v>63</v>
      </c>
      <c r="S12" s="6">
        <v>60</v>
      </c>
      <c r="T12" s="4">
        <v>68</v>
      </c>
      <c r="U12" s="4">
        <v>66</v>
      </c>
      <c r="V12" s="4">
        <v>40</v>
      </c>
      <c r="W12" s="4">
        <v>98</v>
      </c>
      <c r="X12" s="4">
        <v>73</v>
      </c>
      <c r="Y12" s="4">
        <v>66</v>
      </c>
      <c r="Z12" s="4">
        <v>53</v>
      </c>
      <c r="AA12" s="4">
        <v>62</v>
      </c>
      <c r="AB12" s="4">
        <v>73</v>
      </c>
    </row>
    <row r="13" spans="1:28" ht="15.75">
      <c r="B13" s="3">
        <v>9</v>
      </c>
      <c r="D13" s="4">
        <v>60</v>
      </c>
      <c r="E13" s="4">
        <v>54</v>
      </c>
      <c r="F13" s="4">
        <v>45</v>
      </c>
      <c r="G13" s="4">
        <v>54</v>
      </c>
      <c r="H13" s="4">
        <v>60</v>
      </c>
      <c r="I13" s="4">
        <v>54</v>
      </c>
      <c r="J13" s="4">
        <v>69</v>
      </c>
      <c r="K13" s="4">
        <v>73</v>
      </c>
      <c r="L13" s="4">
        <v>65</v>
      </c>
      <c r="M13" s="4">
        <v>34</v>
      </c>
      <c r="N13" s="4">
        <v>60</v>
      </c>
      <c r="O13" s="4">
        <v>62</v>
      </c>
      <c r="P13" s="4">
        <v>54</v>
      </c>
      <c r="Q13" s="4">
        <v>62</v>
      </c>
      <c r="R13" s="4">
        <v>66</v>
      </c>
      <c r="S13" s="6">
        <v>75</v>
      </c>
      <c r="T13" s="4">
        <v>71</v>
      </c>
      <c r="U13" s="4">
        <v>69</v>
      </c>
      <c r="V13" s="4">
        <v>45</v>
      </c>
      <c r="W13" s="4">
        <v>102</v>
      </c>
      <c r="X13" s="4">
        <v>75</v>
      </c>
      <c r="Y13" s="4">
        <v>68</v>
      </c>
      <c r="Z13" s="4">
        <v>60</v>
      </c>
      <c r="AA13" s="4">
        <v>64</v>
      </c>
      <c r="AB13" s="4">
        <v>75</v>
      </c>
    </row>
    <row r="14" spans="1:28" ht="15.75">
      <c r="B14" s="3">
        <v>10</v>
      </c>
      <c r="D14" s="4">
        <v>63</v>
      </c>
      <c r="E14" s="4">
        <v>60</v>
      </c>
      <c r="F14" s="4">
        <v>50</v>
      </c>
      <c r="G14" s="4">
        <v>60</v>
      </c>
      <c r="H14" s="4">
        <v>63</v>
      </c>
      <c r="I14" s="4">
        <v>60</v>
      </c>
      <c r="J14" s="4">
        <v>71</v>
      </c>
      <c r="K14" s="4">
        <v>75</v>
      </c>
      <c r="L14" s="4">
        <v>67</v>
      </c>
      <c r="M14" s="4">
        <v>38</v>
      </c>
      <c r="N14" s="4">
        <v>62</v>
      </c>
      <c r="O14" s="4">
        <v>63</v>
      </c>
      <c r="P14" s="4">
        <v>60</v>
      </c>
      <c r="Q14" s="4">
        <v>64</v>
      </c>
      <c r="R14" s="4">
        <v>69</v>
      </c>
      <c r="S14" s="6">
        <v>78</v>
      </c>
      <c r="T14" s="4">
        <v>75</v>
      </c>
      <c r="U14" s="4">
        <v>72</v>
      </c>
      <c r="V14" s="4">
        <v>50</v>
      </c>
      <c r="W14" s="4">
        <v>105</v>
      </c>
      <c r="X14" s="4">
        <v>78</v>
      </c>
      <c r="Y14" s="4">
        <v>69</v>
      </c>
      <c r="Z14" s="4">
        <v>62</v>
      </c>
      <c r="AA14" s="4">
        <v>66</v>
      </c>
      <c r="AB14" s="4">
        <v>78</v>
      </c>
    </row>
    <row r="15" spans="1:28" ht="15.75">
      <c r="B15" s="3">
        <v>11</v>
      </c>
      <c r="D15" s="4">
        <v>65</v>
      </c>
      <c r="E15" s="4">
        <v>75</v>
      </c>
      <c r="F15" s="4">
        <v>55</v>
      </c>
      <c r="G15" s="4">
        <v>68</v>
      </c>
      <c r="H15" s="4">
        <v>65</v>
      </c>
      <c r="I15" s="4">
        <v>61</v>
      </c>
      <c r="J15" s="4">
        <v>73</v>
      </c>
      <c r="K15" s="4">
        <v>78</v>
      </c>
      <c r="L15" s="4">
        <v>68</v>
      </c>
      <c r="M15" s="4">
        <v>41</v>
      </c>
      <c r="N15" s="4">
        <v>64</v>
      </c>
      <c r="O15" s="4">
        <v>65</v>
      </c>
      <c r="P15" s="4">
        <v>62</v>
      </c>
      <c r="Q15" s="4">
        <v>66</v>
      </c>
      <c r="R15" s="4">
        <v>72</v>
      </c>
      <c r="S15" s="6">
        <v>80</v>
      </c>
      <c r="T15" s="4">
        <v>80</v>
      </c>
      <c r="U15" s="4">
        <v>75</v>
      </c>
      <c r="V15" s="4">
        <v>55</v>
      </c>
      <c r="W15" s="4">
        <v>108</v>
      </c>
      <c r="X15" s="4">
        <v>82</v>
      </c>
      <c r="Y15" s="4">
        <v>71</v>
      </c>
      <c r="Z15" s="4">
        <v>64</v>
      </c>
      <c r="AA15" s="4">
        <v>69</v>
      </c>
      <c r="AB15" s="4">
        <v>80</v>
      </c>
    </row>
    <row r="16" spans="1:28" ht="15.75">
      <c r="B16" s="3">
        <v>12</v>
      </c>
      <c r="D16" s="4">
        <v>68</v>
      </c>
      <c r="E16" s="4">
        <v>77</v>
      </c>
      <c r="F16" s="4">
        <v>60</v>
      </c>
      <c r="G16" s="4">
        <v>75</v>
      </c>
      <c r="H16" s="4">
        <v>68</v>
      </c>
      <c r="I16" s="4">
        <v>63</v>
      </c>
      <c r="J16" s="4">
        <v>75</v>
      </c>
      <c r="K16" s="4">
        <v>82</v>
      </c>
      <c r="L16" s="4">
        <v>70</v>
      </c>
      <c r="M16" s="4">
        <v>45</v>
      </c>
      <c r="N16" s="4">
        <v>66</v>
      </c>
      <c r="O16" s="4">
        <v>67</v>
      </c>
      <c r="P16" s="4">
        <v>63</v>
      </c>
      <c r="Q16" s="4">
        <v>68</v>
      </c>
      <c r="R16" s="4">
        <v>75</v>
      </c>
      <c r="S16" s="6">
        <v>83</v>
      </c>
      <c r="T16" s="4">
        <v>85</v>
      </c>
      <c r="U16" s="4">
        <v>80</v>
      </c>
      <c r="V16" s="4">
        <v>60</v>
      </c>
      <c r="W16" s="4">
        <v>112</v>
      </c>
      <c r="X16" s="4">
        <v>85</v>
      </c>
      <c r="Y16" s="4">
        <v>73</v>
      </c>
      <c r="Z16" s="4">
        <v>66</v>
      </c>
      <c r="AA16" s="4">
        <v>71</v>
      </c>
      <c r="AB16" s="4">
        <v>83</v>
      </c>
    </row>
    <row r="17" spans="2:28" ht="15.75">
      <c r="B17" s="3">
        <v>13</v>
      </c>
      <c r="D17" s="4">
        <v>70</v>
      </c>
      <c r="E17" s="4">
        <v>78</v>
      </c>
      <c r="F17" s="4">
        <v>65</v>
      </c>
      <c r="G17" s="4">
        <v>78</v>
      </c>
      <c r="H17" s="4">
        <v>70</v>
      </c>
      <c r="I17" s="4">
        <v>64</v>
      </c>
      <c r="J17" s="4">
        <v>78</v>
      </c>
      <c r="K17" s="4">
        <v>85</v>
      </c>
      <c r="L17" s="4">
        <v>72</v>
      </c>
      <c r="M17" s="4">
        <v>49</v>
      </c>
      <c r="N17" s="4">
        <v>69</v>
      </c>
      <c r="O17" s="4">
        <v>68</v>
      </c>
      <c r="P17" s="4">
        <v>65</v>
      </c>
      <c r="Q17" s="4">
        <v>69</v>
      </c>
      <c r="R17" s="4">
        <v>78</v>
      </c>
      <c r="S17" s="6">
        <v>85</v>
      </c>
      <c r="T17" s="4">
        <v>95</v>
      </c>
      <c r="U17" s="4">
        <v>85</v>
      </c>
      <c r="V17" s="4">
        <v>63</v>
      </c>
      <c r="W17" s="4">
        <v>115</v>
      </c>
      <c r="X17" s="4">
        <v>90</v>
      </c>
      <c r="Y17" s="4">
        <v>75</v>
      </c>
      <c r="Z17" s="4">
        <v>68</v>
      </c>
      <c r="AA17" s="4">
        <v>73</v>
      </c>
      <c r="AB17" s="4">
        <v>85</v>
      </c>
    </row>
    <row r="18" spans="2:28" ht="15.75">
      <c r="B18" s="3">
        <v>14</v>
      </c>
      <c r="D18" s="4">
        <v>73</v>
      </c>
      <c r="E18" s="4">
        <v>80</v>
      </c>
      <c r="F18" s="4">
        <v>70</v>
      </c>
      <c r="G18" s="4">
        <v>80</v>
      </c>
      <c r="H18" s="4">
        <v>73</v>
      </c>
      <c r="I18" s="4">
        <v>65</v>
      </c>
      <c r="J18" s="4">
        <v>80</v>
      </c>
      <c r="K18" s="4">
        <v>89</v>
      </c>
      <c r="L18" s="4">
        <v>73</v>
      </c>
      <c r="M18" s="4">
        <v>53</v>
      </c>
      <c r="N18" s="4">
        <v>71</v>
      </c>
      <c r="O18" s="4">
        <v>70</v>
      </c>
      <c r="P18" s="4">
        <v>66</v>
      </c>
      <c r="Q18" s="4">
        <v>71</v>
      </c>
      <c r="R18" s="4">
        <v>82</v>
      </c>
      <c r="S18" s="6">
        <v>90</v>
      </c>
      <c r="T18" s="4">
        <v>105</v>
      </c>
      <c r="U18" s="4">
        <v>90</v>
      </c>
      <c r="V18" s="4">
        <v>66</v>
      </c>
      <c r="W18" s="87" t="s">
        <v>388</v>
      </c>
      <c r="X18" s="4">
        <v>95</v>
      </c>
      <c r="Y18" s="4">
        <v>80</v>
      </c>
      <c r="Z18" s="4">
        <v>69</v>
      </c>
      <c r="AA18" s="4">
        <v>75</v>
      </c>
      <c r="AB18" s="4">
        <v>90</v>
      </c>
    </row>
    <row r="19" spans="2:28" ht="15.75">
      <c r="B19" s="3">
        <v>15</v>
      </c>
      <c r="D19" s="4">
        <v>75</v>
      </c>
      <c r="E19" s="4">
        <v>82</v>
      </c>
      <c r="F19" s="4">
        <v>75</v>
      </c>
      <c r="G19" s="4">
        <v>83</v>
      </c>
      <c r="H19" s="4">
        <v>75</v>
      </c>
      <c r="I19" s="4">
        <v>67</v>
      </c>
      <c r="J19" s="4">
        <v>83</v>
      </c>
      <c r="K19" s="4">
        <v>93</v>
      </c>
      <c r="L19" s="4">
        <v>75</v>
      </c>
      <c r="M19" s="4">
        <v>56</v>
      </c>
      <c r="N19" s="4">
        <v>73</v>
      </c>
      <c r="O19" s="4">
        <v>72</v>
      </c>
      <c r="P19" s="4">
        <v>68</v>
      </c>
      <c r="Q19" s="4">
        <v>73</v>
      </c>
      <c r="R19" s="4">
        <v>85</v>
      </c>
      <c r="S19" s="6">
        <v>95</v>
      </c>
      <c r="T19" s="4">
        <v>115</v>
      </c>
      <c r="U19" s="4">
        <v>95</v>
      </c>
      <c r="V19" s="4">
        <v>69</v>
      </c>
      <c r="W19" s="87" t="s">
        <v>388</v>
      </c>
      <c r="X19" s="4">
        <v>100</v>
      </c>
      <c r="Y19" s="4">
        <v>85</v>
      </c>
      <c r="Z19" s="4">
        <v>71</v>
      </c>
      <c r="AA19" s="4">
        <v>78</v>
      </c>
      <c r="AB19" s="4">
        <v>95</v>
      </c>
    </row>
    <row r="20" spans="2:28" ht="15.75">
      <c r="B20" s="3">
        <v>16</v>
      </c>
      <c r="D20" s="4">
        <v>78</v>
      </c>
      <c r="E20" s="4">
        <v>83</v>
      </c>
      <c r="F20" s="4">
        <v>76</v>
      </c>
      <c r="G20" s="4">
        <v>85</v>
      </c>
      <c r="H20" s="4">
        <v>78</v>
      </c>
      <c r="I20" s="4">
        <v>68</v>
      </c>
      <c r="J20" s="4">
        <v>85</v>
      </c>
      <c r="K20" s="4">
        <v>96</v>
      </c>
      <c r="L20" s="4">
        <v>78</v>
      </c>
      <c r="M20" s="4">
        <v>60</v>
      </c>
      <c r="N20" s="4">
        <v>75</v>
      </c>
      <c r="O20" s="4">
        <v>73</v>
      </c>
      <c r="P20" s="4">
        <v>69</v>
      </c>
      <c r="Q20" s="4">
        <v>75</v>
      </c>
      <c r="R20" s="4">
        <v>88</v>
      </c>
      <c r="S20" s="6">
        <v>100</v>
      </c>
      <c r="T20" s="87" t="s">
        <v>388</v>
      </c>
      <c r="U20" s="4">
        <v>100</v>
      </c>
      <c r="V20" s="4">
        <v>72</v>
      </c>
      <c r="W20" s="87" t="s">
        <v>388</v>
      </c>
      <c r="X20" s="4">
        <v>105</v>
      </c>
      <c r="Y20" s="4">
        <v>93</v>
      </c>
      <c r="Z20" s="4">
        <v>73</v>
      </c>
      <c r="AA20" s="4">
        <v>82</v>
      </c>
      <c r="AB20" s="4">
        <v>100</v>
      </c>
    </row>
    <row r="21" spans="2:28" ht="15.75">
      <c r="B21" s="3">
        <v>17</v>
      </c>
      <c r="D21" s="4">
        <v>82</v>
      </c>
      <c r="E21" s="4">
        <v>85</v>
      </c>
      <c r="F21" s="4">
        <v>78</v>
      </c>
      <c r="G21" s="4">
        <v>89</v>
      </c>
      <c r="H21" s="4">
        <v>80</v>
      </c>
      <c r="I21" s="4">
        <v>70</v>
      </c>
      <c r="J21" s="4">
        <v>88</v>
      </c>
      <c r="K21" s="4">
        <v>100</v>
      </c>
      <c r="L21" s="4">
        <v>82</v>
      </c>
      <c r="M21" s="4">
        <v>64</v>
      </c>
      <c r="N21" s="4">
        <v>78</v>
      </c>
      <c r="O21" s="4">
        <v>75</v>
      </c>
      <c r="P21" s="4">
        <v>71</v>
      </c>
      <c r="Q21" s="4">
        <v>78</v>
      </c>
      <c r="R21" s="4">
        <v>92</v>
      </c>
      <c r="S21" s="6">
        <v>105</v>
      </c>
      <c r="T21" s="87" t="s">
        <v>388</v>
      </c>
      <c r="U21" s="4">
        <v>105</v>
      </c>
      <c r="V21" s="4">
        <v>75</v>
      </c>
      <c r="W21" s="87" t="s">
        <v>388</v>
      </c>
      <c r="X21" s="4">
        <v>110</v>
      </c>
      <c r="Y21" s="4">
        <v>100</v>
      </c>
      <c r="Z21" s="4">
        <v>75</v>
      </c>
      <c r="AA21" s="4">
        <v>85</v>
      </c>
      <c r="AB21" s="4">
        <v>105</v>
      </c>
    </row>
    <row r="22" spans="2:28" ht="15.75">
      <c r="B22" s="3">
        <v>18</v>
      </c>
      <c r="D22" s="4">
        <v>85</v>
      </c>
      <c r="E22" s="4">
        <v>89</v>
      </c>
      <c r="F22" s="4">
        <v>79</v>
      </c>
      <c r="G22" s="4">
        <v>94</v>
      </c>
      <c r="H22" s="4">
        <v>83</v>
      </c>
      <c r="I22" s="4">
        <v>71</v>
      </c>
      <c r="J22" s="4">
        <v>91</v>
      </c>
      <c r="K22" s="4">
        <v>104</v>
      </c>
      <c r="L22" s="4">
        <v>85</v>
      </c>
      <c r="M22" s="4">
        <v>68</v>
      </c>
      <c r="N22" s="4">
        <v>80</v>
      </c>
      <c r="O22" s="4">
        <v>78</v>
      </c>
      <c r="P22" s="4">
        <v>72</v>
      </c>
      <c r="Q22" s="4">
        <v>81</v>
      </c>
      <c r="R22" s="4">
        <v>95</v>
      </c>
      <c r="S22" s="6">
        <v>110</v>
      </c>
      <c r="T22" s="87" t="s">
        <v>388</v>
      </c>
      <c r="U22" s="4">
        <v>110</v>
      </c>
      <c r="V22" s="4">
        <v>78</v>
      </c>
      <c r="W22" s="87" t="s">
        <v>388</v>
      </c>
      <c r="X22" s="4">
        <v>115</v>
      </c>
      <c r="Y22" s="4">
        <v>108</v>
      </c>
      <c r="Z22" s="4">
        <v>80</v>
      </c>
      <c r="AA22" s="4">
        <v>89</v>
      </c>
      <c r="AB22" s="4">
        <v>110</v>
      </c>
    </row>
    <row r="23" spans="2:28" ht="15.75">
      <c r="B23" s="3">
        <v>19</v>
      </c>
      <c r="D23" s="4">
        <v>91</v>
      </c>
      <c r="E23" s="4">
        <v>94</v>
      </c>
      <c r="F23" s="4">
        <v>80</v>
      </c>
      <c r="G23" s="4">
        <v>98</v>
      </c>
      <c r="H23" s="4">
        <v>85</v>
      </c>
      <c r="I23" s="4">
        <v>72</v>
      </c>
      <c r="J23" s="4">
        <v>94</v>
      </c>
      <c r="K23" s="4">
        <v>108</v>
      </c>
      <c r="L23" s="4">
        <v>93</v>
      </c>
      <c r="M23" s="4">
        <v>71</v>
      </c>
      <c r="N23" s="4">
        <v>83</v>
      </c>
      <c r="O23" s="4">
        <v>80</v>
      </c>
      <c r="P23" s="4">
        <v>74</v>
      </c>
      <c r="Q23" s="4">
        <v>85</v>
      </c>
      <c r="R23" s="4">
        <v>98</v>
      </c>
      <c r="S23" s="6">
        <v>115</v>
      </c>
      <c r="T23" s="87" t="s">
        <v>388</v>
      </c>
      <c r="U23" s="4">
        <v>115</v>
      </c>
      <c r="V23" s="4">
        <v>80</v>
      </c>
      <c r="W23" s="87" t="s">
        <v>388</v>
      </c>
      <c r="X23" s="87" t="s">
        <v>388</v>
      </c>
      <c r="Y23" s="4">
        <v>115</v>
      </c>
      <c r="Z23" s="4">
        <v>85</v>
      </c>
      <c r="AA23" s="4">
        <v>94</v>
      </c>
      <c r="AB23" s="4">
        <v>115</v>
      </c>
    </row>
    <row r="24" spans="2:28" ht="15.75">
      <c r="B24" s="3">
        <v>20</v>
      </c>
      <c r="D24" s="4">
        <v>97</v>
      </c>
      <c r="E24" s="4">
        <v>98</v>
      </c>
      <c r="F24" s="4">
        <v>81</v>
      </c>
      <c r="G24" s="4">
        <v>102</v>
      </c>
      <c r="H24" s="4">
        <v>88</v>
      </c>
      <c r="I24" s="4">
        <v>74</v>
      </c>
      <c r="J24" s="4">
        <v>97</v>
      </c>
      <c r="K24" s="4">
        <v>111</v>
      </c>
      <c r="L24" s="4">
        <v>100</v>
      </c>
      <c r="M24" s="4">
        <v>75</v>
      </c>
      <c r="N24" s="4">
        <v>85</v>
      </c>
      <c r="O24" s="4">
        <v>83</v>
      </c>
      <c r="P24" s="4">
        <v>75</v>
      </c>
      <c r="Q24" s="4">
        <v>89</v>
      </c>
      <c r="R24" s="4">
        <v>102</v>
      </c>
      <c r="S24" s="88" t="s">
        <v>388</v>
      </c>
      <c r="T24" s="87" t="s">
        <v>388</v>
      </c>
      <c r="U24" s="87" t="s">
        <v>388</v>
      </c>
      <c r="V24" s="4">
        <v>83</v>
      </c>
      <c r="W24" s="87" t="s">
        <v>388</v>
      </c>
      <c r="X24" s="87" t="s">
        <v>388</v>
      </c>
      <c r="Y24" s="87" t="s">
        <v>388</v>
      </c>
      <c r="Z24" s="4">
        <v>89</v>
      </c>
      <c r="AA24" s="4">
        <v>98</v>
      </c>
      <c r="AB24" s="87" t="s">
        <v>388</v>
      </c>
    </row>
    <row r="25" spans="2:28" ht="15.75">
      <c r="B25" s="3">
        <v>21</v>
      </c>
      <c r="D25" s="4">
        <v>103</v>
      </c>
      <c r="E25" s="4">
        <v>102</v>
      </c>
      <c r="F25" s="4">
        <v>83</v>
      </c>
      <c r="G25" s="4">
        <v>106</v>
      </c>
      <c r="H25" s="4">
        <v>91</v>
      </c>
      <c r="I25" s="4">
        <v>75</v>
      </c>
      <c r="J25" s="4">
        <v>100</v>
      </c>
      <c r="K25" s="4">
        <v>115</v>
      </c>
      <c r="L25" s="4">
        <v>108</v>
      </c>
      <c r="M25" s="4">
        <v>80</v>
      </c>
      <c r="N25" s="4">
        <v>90</v>
      </c>
      <c r="O25" s="4">
        <v>85</v>
      </c>
      <c r="P25" s="4">
        <v>78</v>
      </c>
      <c r="Q25" s="4">
        <v>93</v>
      </c>
      <c r="R25" s="4">
        <v>105</v>
      </c>
      <c r="S25" s="88" t="s">
        <v>388</v>
      </c>
      <c r="T25" s="87" t="s">
        <v>388</v>
      </c>
      <c r="U25" s="87" t="s">
        <v>388</v>
      </c>
      <c r="V25" s="4">
        <v>85</v>
      </c>
      <c r="W25" s="87" t="s">
        <v>388</v>
      </c>
      <c r="X25" s="87" t="s">
        <v>388</v>
      </c>
      <c r="Y25" s="87" t="s">
        <v>388</v>
      </c>
      <c r="Z25" s="4">
        <v>93</v>
      </c>
      <c r="AA25" s="4">
        <v>102</v>
      </c>
      <c r="AB25" s="87" t="s">
        <v>388</v>
      </c>
    </row>
    <row r="26" spans="2:28" ht="15.75">
      <c r="B26" s="3">
        <v>22</v>
      </c>
      <c r="D26" s="4">
        <v>109</v>
      </c>
      <c r="E26" s="4">
        <v>106</v>
      </c>
      <c r="F26" s="4">
        <v>84</v>
      </c>
      <c r="G26" s="4">
        <v>111</v>
      </c>
      <c r="H26" s="4">
        <v>94</v>
      </c>
      <c r="I26" s="4">
        <v>80</v>
      </c>
      <c r="J26" s="4">
        <v>103</v>
      </c>
      <c r="K26" s="87" t="s">
        <v>388</v>
      </c>
      <c r="L26" s="4">
        <v>115</v>
      </c>
      <c r="M26" s="4">
        <v>85</v>
      </c>
      <c r="N26" s="4">
        <v>95</v>
      </c>
      <c r="O26" s="4">
        <v>93</v>
      </c>
      <c r="P26" s="4">
        <v>82</v>
      </c>
      <c r="Q26" s="4">
        <v>96</v>
      </c>
      <c r="R26" s="4">
        <v>108</v>
      </c>
      <c r="S26" s="88" t="s">
        <v>388</v>
      </c>
      <c r="T26" s="87" t="s">
        <v>388</v>
      </c>
      <c r="U26" s="87" t="s">
        <v>388</v>
      </c>
      <c r="V26" s="4">
        <v>90</v>
      </c>
      <c r="W26" s="87" t="s">
        <v>388</v>
      </c>
      <c r="X26" s="87" t="s">
        <v>388</v>
      </c>
      <c r="Y26" s="87" t="s">
        <v>388</v>
      </c>
      <c r="Z26" s="4">
        <v>96</v>
      </c>
      <c r="AA26" s="4">
        <v>106</v>
      </c>
      <c r="AB26" s="87" t="s">
        <v>388</v>
      </c>
    </row>
    <row r="27" spans="2:28" ht="15.75">
      <c r="B27" s="3">
        <v>23</v>
      </c>
      <c r="D27" s="4">
        <v>115</v>
      </c>
      <c r="E27" s="4">
        <v>111</v>
      </c>
      <c r="F27" s="4">
        <v>85</v>
      </c>
      <c r="G27" s="4">
        <v>115</v>
      </c>
      <c r="H27" s="4">
        <v>97</v>
      </c>
      <c r="I27" s="4">
        <v>85</v>
      </c>
      <c r="J27" s="4">
        <v>106</v>
      </c>
      <c r="K27" s="87" t="s">
        <v>388</v>
      </c>
      <c r="L27" s="87" t="s">
        <v>388</v>
      </c>
      <c r="M27" s="4">
        <v>100</v>
      </c>
      <c r="N27" s="4">
        <v>100</v>
      </c>
      <c r="O27" s="4">
        <v>100</v>
      </c>
      <c r="P27" s="4">
        <v>85</v>
      </c>
      <c r="Q27" s="4">
        <v>100</v>
      </c>
      <c r="R27" s="4">
        <v>112</v>
      </c>
      <c r="S27" s="88" t="s">
        <v>388</v>
      </c>
      <c r="T27" s="87" t="s">
        <v>388</v>
      </c>
      <c r="U27" s="87" t="s">
        <v>388</v>
      </c>
      <c r="V27" s="4">
        <v>95</v>
      </c>
      <c r="W27" s="87" t="s">
        <v>388</v>
      </c>
      <c r="X27" s="87" t="s">
        <v>388</v>
      </c>
      <c r="Y27" s="87" t="s">
        <v>388</v>
      </c>
      <c r="Z27" s="4">
        <v>100</v>
      </c>
      <c r="AA27" s="4">
        <v>111</v>
      </c>
      <c r="AB27" s="87" t="s">
        <v>388</v>
      </c>
    </row>
    <row r="28" spans="2:28" ht="15.75">
      <c r="B28" s="3">
        <v>24</v>
      </c>
      <c r="D28" s="87" t="s">
        <v>388</v>
      </c>
      <c r="E28" s="4">
        <v>115</v>
      </c>
      <c r="F28" s="4">
        <v>91</v>
      </c>
      <c r="G28" s="87" t="s">
        <v>388</v>
      </c>
      <c r="H28" s="4">
        <v>100</v>
      </c>
      <c r="I28" s="4">
        <v>93</v>
      </c>
      <c r="J28" s="4">
        <v>109</v>
      </c>
      <c r="K28" s="87" t="s">
        <v>388</v>
      </c>
      <c r="L28" s="87" t="s">
        <v>388</v>
      </c>
      <c r="M28" s="87" t="s">
        <v>388</v>
      </c>
      <c r="N28" s="4">
        <v>105</v>
      </c>
      <c r="O28" s="4">
        <v>108</v>
      </c>
      <c r="P28" s="4">
        <v>90</v>
      </c>
      <c r="Q28" s="4">
        <v>104</v>
      </c>
      <c r="R28" s="4">
        <v>115</v>
      </c>
      <c r="S28" s="88" t="s">
        <v>388</v>
      </c>
      <c r="T28" s="87" t="s">
        <v>388</v>
      </c>
      <c r="U28" s="87" t="s">
        <v>388</v>
      </c>
      <c r="V28" s="4">
        <v>100</v>
      </c>
      <c r="W28" s="87" t="s">
        <v>388</v>
      </c>
      <c r="X28" s="87" t="s">
        <v>388</v>
      </c>
      <c r="Y28" s="87" t="s">
        <v>388</v>
      </c>
      <c r="Z28" s="4">
        <v>104</v>
      </c>
      <c r="AA28" s="4">
        <v>115</v>
      </c>
      <c r="AB28" s="87" t="s">
        <v>388</v>
      </c>
    </row>
    <row r="29" spans="2:28" ht="15.75">
      <c r="B29" s="3">
        <v>25</v>
      </c>
      <c r="D29" s="87" t="s">
        <v>388</v>
      </c>
      <c r="E29" s="87" t="s">
        <v>388</v>
      </c>
      <c r="F29" s="4">
        <v>97</v>
      </c>
      <c r="G29" s="87" t="s">
        <v>388</v>
      </c>
      <c r="H29" s="87" t="s">
        <v>388</v>
      </c>
      <c r="I29" s="4">
        <v>100</v>
      </c>
      <c r="J29" s="4">
        <v>112</v>
      </c>
      <c r="K29" s="87" t="s">
        <v>388</v>
      </c>
      <c r="L29" s="87" t="s">
        <v>388</v>
      </c>
      <c r="M29" s="87" t="s">
        <v>388</v>
      </c>
      <c r="N29" s="4">
        <v>110</v>
      </c>
      <c r="O29" s="4">
        <v>115</v>
      </c>
      <c r="P29" s="4">
        <v>95</v>
      </c>
      <c r="Q29" s="4">
        <v>108</v>
      </c>
      <c r="R29" s="87" t="s">
        <v>388</v>
      </c>
      <c r="S29" s="88" t="s">
        <v>388</v>
      </c>
      <c r="T29" s="87" t="s">
        <v>388</v>
      </c>
      <c r="U29" s="87" t="s">
        <v>388</v>
      </c>
      <c r="V29" s="4">
        <v>105</v>
      </c>
      <c r="W29" s="87" t="s">
        <v>388</v>
      </c>
      <c r="X29" s="87" t="s">
        <v>388</v>
      </c>
      <c r="Y29" s="87" t="s">
        <v>388</v>
      </c>
      <c r="Z29" s="4">
        <v>108</v>
      </c>
      <c r="AA29" s="87" t="s">
        <v>388</v>
      </c>
      <c r="AB29" s="87" t="s">
        <v>388</v>
      </c>
    </row>
    <row r="30" spans="2:28" ht="15.75">
      <c r="B30" s="3">
        <v>26</v>
      </c>
      <c r="D30" s="87" t="s">
        <v>388</v>
      </c>
      <c r="E30" s="87" t="s">
        <v>388</v>
      </c>
      <c r="F30" s="4">
        <v>103</v>
      </c>
      <c r="G30" s="87" t="s">
        <v>388</v>
      </c>
      <c r="H30" s="87" t="s">
        <v>388</v>
      </c>
      <c r="I30" s="87" t="s">
        <v>388</v>
      </c>
      <c r="J30" s="4">
        <v>115</v>
      </c>
      <c r="K30" s="87" t="s">
        <v>388</v>
      </c>
      <c r="L30" s="87" t="s">
        <v>388</v>
      </c>
      <c r="M30" s="87" t="s">
        <v>388</v>
      </c>
      <c r="N30" s="4">
        <v>115</v>
      </c>
      <c r="O30" s="87" t="s">
        <v>388</v>
      </c>
      <c r="P30" s="4">
        <v>100</v>
      </c>
      <c r="Q30" s="4">
        <v>111</v>
      </c>
      <c r="R30" s="87" t="s">
        <v>388</v>
      </c>
      <c r="S30" s="88" t="s">
        <v>388</v>
      </c>
      <c r="T30" s="87" t="s">
        <v>388</v>
      </c>
      <c r="U30" s="87" t="s">
        <v>388</v>
      </c>
      <c r="V30" s="4">
        <v>110</v>
      </c>
      <c r="W30" s="87" t="s">
        <v>388</v>
      </c>
      <c r="X30" s="87" t="s">
        <v>388</v>
      </c>
      <c r="Y30" s="87" t="s">
        <v>388</v>
      </c>
      <c r="Z30" s="4">
        <v>111</v>
      </c>
      <c r="AA30" s="87" t="s">
        <v>388</v>
      </c>
      <c r="AB30" s="87" t="s">
        <v>388</v>
      </c>
    </row>
    <row r="31" spans="2:28" ht="15.75">
      <c r="B31" s="3">
        <v>27</v>
      </c>
      <c r="D31" s="87" t="s">
        <v>388</v>
      </c>
      <c r="E31" s="87" t="s">
        <v>388</v>
      </c>
      <c r="F31" s="4">
        <v>109</v>
      </c>
      <c r="G31" s="87" t="s">
        <v>388</v>
      </c>
      <c r="H31" s="87" t="s">
        <v>388</v>
      </c>
      <c r="I31" s="87" t="s">
        <v>388</v>
      </c>
      <c r="J31" s="87" t="s">
        <v>388</v>
      </c>
      <c r="K31" s="87" t="s">
        <v>388</v>
      </c>
      <c r="L31" s="87" t="s">
        <v>388</v>
      </c>
      <c r="M31" s="87" t="s">
        <v>388</v>
      </c>
      <c r="N31" s="87" t="s">
        <v>388</v>
      </c>
      <c r="O31" s="87" t="s">
        <v>388</v>
      </c>
      <c r="P31" s="4">
        <v>105</v>
      </c>
      <c r="Q31" s="4">
        <v>115</v>
      </c>
      <c r="R31" s="87" t="s">
        <v>388</v>
      </c>
      <c r="S31" s="88" t="s">
        <v>388</v>
      </c>
      <c r="T31" s="87" t="s">
        <v>388</v>
      </c>
      <c r="U31" s="87" t="s">
        <v>388</v>
      </c>
      <c r="V31" s="4">
        <v>115</v>
      </c>
      <c r="W31" s="87" t="s">
        <v>388</v>
      </c>
      <c r="X31" s="87" t="s">
        <v>388</v>
      </c>
      <c r="Y31" s="87" t="s">
        <v>388</v>
      </c>
      <c r="Z31" s="4">
        <v>115</v>
      </c>
      <c r="AA31" s="87" t="s">
        <v>388</v>
      </c>
      <c r="AB31" s="87" t="s">
        <v>388</v>
      </c>
    </row>
    <row r="32" spans="2:28" ht="15.75">
      <c r="B32" s="3">
        <v>28</v>
      </c>
      <c r="D32" s="87" t="s">
        <v>388</v>
      </c>
      <c r="E32" s="87" t="s">
        <v>388</v>
      </c>
      <c r="F32" s="4">
        <v>115</v>
      </c>
      <c r="G32" s="87" t="s">
        <v>388</v>
      </c>
      <c r="H32" s="87" t="s">
        <v>388</v>
      </c>
      <c r="I32" s="87" t="s">
        <v>388</v>
      </c>
      <c r="J32" s="87" t="s">
        <v>388</v>
      </c>
      <c r="K32" s="87" t="s">
        <v>388</v>
      </c>
      <c r="L32" s="87" t="s">
        <v>388</v>
      </c>
      <c r="M32" s="87" t="s">
        <v>388</v>
      </c>
      <c r="N32" s="87" t="s">
        <v>388</v>
      </c>
      <c r="O32" s="87" t="s">
        <v>388</v>
      </c>
      <c r="P32" s="4">
        <v>110</v>
      </c>
      <c r="Q32" s="87" t="s">
        <v>388</v>
      </c>
      <c r="R32" s="87" t="s">
        <v>388</v>
      </c>
      <c r="S32" s="88" t="s">
        <v>388</v>
      </c>
      <c r="T32" s="87" t="s">
        <v>388</v>
      </c>
      <c r="U32" s="87" t="s">
        <v>388</v>
      </c>
      <c r="V32" s="87" t="s">
        <v>388</v>
      </c>
      <c r="W32" s="87" t="s">
        <v>388</v>
      </c>
      <c r="X32" s="87" t="s">
        <v>388</v>
      </c>
      <c r="Y32" s="87" t="s">
        <v>388</v>
      </c>
      <c r="Z32" s="87" t="s">
        <v>388</v>
      </c>
      <c r="AA32" s="87" t="s">
        <v>388</v>
      </c>
      <c r="AB32" s="87" t="s">
        <v>388</v>
      </c>
    </row>
    <row r="33" spans="2:28" ht="15.75">
      <c r="B33" s="3">
        <v>29</v>
      </c>
      <c r="D33" s="87" t="s">
        <v>388</v>
      </c>
      <c r="E33" s="87" t="s">
        <v>388</v>
      </c>
      <c r="F33" s="87" t="s">
        <v>388</v>
      </c>
      <c r="G33" s="87" t="s">
        <v>388</v>
      </c>
      <c r="H33" s="87" t="s">
        <v>388</v>
      </c>
      <c r="I33" s="87" t="s">
        <v>388</v>
      </c>
      <c r="J33" s="87" t="s">
        <v>388</v>
      </c>
      <c r="K33" s="87" t="s">
        <v>388</v>
      </c>
      <c r="L33" s="87" t="s">
        <v>388</v>
      </c>
      <c r="M33" s="87" t="s">
        <v>388</v>
      </c>
      <c r="N33" s="87" t="s">
        <v>388</v>
      </c>
      <c r="O33" s="87" t="s">
        <v>388</v>
      </c>
      <c r="P33" s="4">
        <v>115</v>
      </c>
      <c r="Q33" s="87" t="s">
        <v>388</v>
      </c>
      <c r="R33" s="87" t="s">
        <v>388</v>
      </c>
      <c r="S33" s="88" t="s">
        <v>388</v>
      </c>
      <c r="T33" s="87" t="s">
        <v>388</v>
      </c>
      <c r="U33" s="87" t="s">
        <v>388</v>
      </c>
      <c r="V33" s="87" t="s">
        <v>388</v>
      </c>
      <c r="W33" s="87" t="s">
        <v>388</v>
      </c>
      <c r="X33" s="87" t="s">
        <v>388</v>
      </c>
      <c r="Y33" s="87" t="s">
        <v>388</v>
      </c>
      <c r="Z33" s="87" t="s">
        <v>388</v>
      </c>
      <c r="AA33" s="87" t="s">
        <v>388</v>
      </c>
      <c r="AB33" s="87" t="s">
        <v>388</v>
      </c>
    </row>
  </sheetData>
  <mergeCells count="1">
    <mergeCell ref="A2:AB2"/>
  </mergeCells>
  <pageMargins left="0.7" right="0.7" top="0.75" bottom="0.75" header="0.3" footer="0.3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2:BD102"/>
  <sheetViews>
    <sheetView zoomScale="70" zoomScaleNormal="70" workbookViewId="0">
      <pane ySplit="825" topLeftCell="A72" activePane="bottomLeft"/>
      <selection pane="bottomLeft" activeCell="B105" sqref="B105"/>
    </sheetView>
  </sheetViews>
  <sheetFormatPr baseColWidth="10" defaultColWidth="4.7109375" defaultRowHeight="15"/>
  <cols>
    <col min="1" max="3" width="4.140625" style="4" customWidth="1"/>
    <col min="4" max="11" width="4.7109375" style="4" hidden="1" customWidth="1"/>
    <col min="12" max="12" width="5" style="4" hidden="1" customWidth="1"/>
    <col min="13" max="15" width="4.7109375" style="4" hidden="1" customWidth="1"/>
    <col min="16" max="17" width="6.28515625" style="4" hidden="1" customWidth="1"/>
    <col min="18" max="21" width="4.7109375" style="4" hidden="1" customWidth="1"/>
    <col min="22" max="16384" width="4.7109375" style="4"/>
  </cols>
  <sheetData>
    <row r="2" spans="1:56">
      <c r="A2" s="99" t="s">
        <v>389</v>
      </c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</row>
    <row r="3" spans="1:56" ht="15" customHeight="1">
      <c r="A3" s="100" t="s">
        <v>390</v>
      </c>
      <c r="B3" s="100"/>
      <c r="C3" s="100"/>
      <c r="D3" s="101">
        <v>1</v>
      </c>
      <c r="E3" s="101"/>
      <c r="F3" s="101" t="s">
        <v>245</v>
      </c>
      <c r="G3" s="101"/>
      <c r="H3" s="101" t="s">
        <v>247</v>
      </c>
      <c r="I3" s="101"/>
      <c r="J3" s="101">
        <v>3</v>
      </c>
      <c r="K3" s="101"/>
      <c r="L3" s="101" t="s">
        <v>250</v>
      </c>
      <c r="M3" s="101"/>
      <c r="N3" s="101" t="s">
        <v>252</v>
      </c>
      <c r="O3" s="101"/>
      <c r="P3" s="101">
        <v>5</v>
      </c>
      <c r="Q3" s="101"/>
      <c r="R3" s="101" t="s">
        <v>255</v>
      </c>
      <c r="S3" s="101"/>
      <c r="T3" s="101" t="s">
        <v>257</v>
      </c>
      <c r="U3" s="101"/>
      <c r="V3" s="101">
        <v>7</v>
      </c>
      <c r="W3" s="101"/>
      <c r="X3" s="101" t="s">
        <v>260</v>
      </c>
      <c r="Y3" s="101"/>
      <c r="Z3" s="101" t="s">
        <v>262</v>
      </c>
      <c r="AA3" s="101"/>
      <c r="AB3" s="101" t="s">
        <v>265</v>
      </c>
      <c r="AC3" s="101"/>
      <c r="AD3" s="101" t="s">
        <v>267</v>
      </c>
      <c r="AE3" s="101"/>
      <c r="AF3" s="101" t="s">
        <v>269</v>
      </c>
      <c r="AG3" s="102"/>
      <c r="AH3" s="103" t="s">
        <v>272</v>
      </c>
      <c r="AI3" s="101"/>
      <c r="AJ3" s="101" t="s">
        <v>274</v>
      </c>
      <c r="AK3" s="101"/>
      <c r="AL3" s="101" t="s">
        <v>276</v>
      </c>
      <c r="AM3" s="101"/>
      <c r="AN3" s="101" t="s">
        <v>278</v>
      </c>
      <c r="AO3" s="101"/>
      <c r="AP3" s="101" t="s">
        <v>280</v>
      </c>
      <c r="AQ3" s="101"/>
      <c r="AR3" s="101" t="s">
        <v>282</v>
      </c>
      <c r="AS3" s="101"/>
      <c r="AT3" s="101" t="s">
        <v>284</v>
      </c>
      <c r="AU3" s="101"/>
      <c r="AV3" s="101" t="s">
        <v>286</v>
      </c>
      <c r="AW3" s="101"/>
      <c r="AX3" s="101" t="s">
        <v>288</v>
      </c>
      <c r="AY3" s="101"/>
      <c r="AZ3" s="101" t="s">
        <v>290</v>
      </c>
      <c r="BA3" s="101"/>
    </row>
    <row r="4" spans="1:56" ht="15.75">
      <c r="B4" s="3">
        <v>1</v>
      </c>
      <c r="V4" s="4">
        <v>0</v>
      </c>
      <c r="W4" s="4">
        <v>19</v>
      </c>
      <c r="AH4" s="6"/>
      <c r="BD4" s="3">
        <v>1</v>
      </c>
    </row>
    <row r="5" spans="1:56" ht="15.75">
      <c r="B5" s="3">
        <v>2</v>
      </c>
      <c r="D5" s="4">
        <v>0</v>
      </c>
      <c r="E5" s="4">
        <v>6</v>
      </c>
      <c r="F5" s="4">
        <v>0</v>
      </c>
      <c r="G5" s="4">
        <v>5</v>
      </c>
      <c r="J5" s="4">
        <v>0</v>
      </c>
      <c r="K5" s="4">
        <v>5</v>
      </c>
      <c r="V5" s="4">
        <v>20</v>
      </c>
      <c r="W5" s="4">
        <v>24</v>
      </c>
      <c r="AH5" s="6"/>
      <c r="BD5" s="3">
        <v>2</v>
      </c>
    </row>
    <row r="6" spans="1:56" ht="15.75">
      <c r="B6" s="3">
        <v>3</v>
      </c>
      <c r="D6" s="87" t="s">
        <v>388</v>
      </c>
      <c r="F6" s="87" t="s">
        <v>388</v>
      </c>
      <c r="J6" s="4">
        <v>6</v>
      </c>
      <c r="K6" s="4">
        <v>9</v>
      </c>
      <c r="V6" s="4">
        <v>25</v>
      </c>
      <c r="W6" s="4">
        <v>28</v>
      </c>
      <c r="X6" s="4">
        <v>0</v>
      </c>
      <c r="Y6" s="4">
        <v>0</v>
      </c>
      <c r="AH6" s="6"/>
      <c r="AL6" s="4">
        <v>0</v>
      </c>
      <c r="AM6" s="4">
        <v>0</v>
      </c>
      <c r="AN6" s="4">
        <v>0</v>
      </c>
      <c r="AO6" s="4">
        <v>0</v>
      </c>
      <c r="AV6" s="4">
        <v>0</v>
      </c>
      <c r="AW6" s="4">
        <v>0</v>
      </c>
      <c r="BD6" s="3">
        <v>3</v>
      </c>
    </row>
    <row r="7" spans="1:56" ht="15.75">
      <c r="B7" s="3">
        <v>4</v>
      </c>
      <c r="D7" s="87" t="s">
        <v>388</v>
      </c>
      <c r="F7" s="87" t="s">
        <v>388</v>
      </c>
      <c r="J7" s="4">
        <v>10</v>
      </c>
      <c r="K7" s="4">
        <v>11</v>
      </c>
      <c r="L7" s="4">
        <v>0</v>
      </c>
      <c r="M7" s="4">
        <v>5</v>
      </c>
      <c r="N7" s="4">
        <v>0</v>
      </c>
      <c r="O7" s="4">
        <v>4</v>
      </c>
      <c r="V7" s="4">
        <v>29</v>
      </c>
      <c r="W7" s="4">
        <v>29</v>
      </c>
      <c r="X7" s="4">
        <v>1</v>
      </c>
      <c r="Y7" s="4">
        <v>1</v>
      </c>
      <c r="AB7" s="4">
        <v>0</v>
      </c>
      <c r="AC7" s="4">
        <v>0</v>
      </c>
      <c r="AD7" s="4">
        <v>0</v>
      </c>
      <c r="AE7" s="4">
        <v>0</v>
      </c>
      <c r="AH7" s="6"/>
      <c r="AL7" s="4">
        <v>1</v>
      </c>
      <c r="AM7" s="4">
        <v>9</v>
      </c>
      <c r="AN7" s="4">
        <v>1</v>
      </c>
      <c r="AO7" s="4">
        <v>4</v>
      </c>
      <c r="AV7" s="4">
        <v>1</v>
      </c>
      <c r="AW7" s="4">
        <v>1</v>
      </c>
      <c r="BD7" s="3">
        <v>4</v>
      </c>
    </row>
    <row r="8" spans="1:56" ht="15.75">
      <c r="B8" s="3">
        <v>5</v>
      </c>
      <c r="D8" s="4">
        <v>7</v>
      </c>
      <c r="E8" s="4">
        <v>12</v>
      </c>
      <c r="F8" s="4">
        <v>6</v>
      </c>
      <c r="G8" s="4">
        <v>7</v>
      </c>
      <c r="H8" s="4">
        <v>0</v>
      </c>
      <c r="I8" s="4">
        <v>0</v>
      </c>
      <c r="J8" s="87" t="s">
        <v>388</v>
      </c>
      <c r="L8" s="87" t="s">
        <v>388</v>
      </c>
      <c r="N8" s="4">
        <v>5</v>
      </c>
      <c r="O8" s="4">
        <v>5</v>
      </c>
      <c r="V8" s="4">
        <v>30</v>
      </c>
      <c r="W8" s="4">
        <v>31</v>
      </c>
      <c r="X8" s="4">
        <v>2</v>
      </c>
      <c r="Y8" s="4">
        <v>2</v>
      </c>
      <c r="Z8" s="4">
        <v>0</v>
      </c>
      <c r="AA8" s="4">
        <v>2</v>
      </c>
      <c r="AB8" s="4">
        <v>1</v>
      </c>
      <c r="AC8" s="4">
        <v>1</v>
      </c>
      <c r="AD8" s="87" t="s">
        <v>388</v>
      </c>
      <c r="AH8" s="6">
        <v>0</v>
      </c>
      <c r="AI8" s="4">
        <v>1</v>
      </c>
      <c r="AL8" s="87" t="s">
        <v>388</v>
      </c>
      <c r="AN8" s="87" t="s">
        <v>388</v>
      </c>
      <c r="AV8" s="4">
        <v>2</v>
      </c>
      <c r="AW8" s="4">
        <v>6</v>
      </c>
      <c r="BD8" s="3">
        <v>5</v>
      </c>
    </row>
    <row r="9" spans="1:56" ht="15.75">
      <c r="B9" s="3">
        <v>6</v>
      </c>
      <c r="D9" s="87" t="s">
        <v>388</v>
      </c>
      <c r="F9" s="4">
        <v>8</v>
      </c>
      <c r="G9" s="4">
        <v>11</v>
      </c>
      <c r="H9" s="4">
        <v>1</v>
      </c>
      <c r="I9" s="4">
        <v>2</v>
      </c>
      <c r="J9" s="87" t="s">
        <v>388</v>
      </c>
      <c r="L9" s="87" t="s">
        <v>388</v>
      </c>
      <c r="N9" s="87" t="s">
        <v>388</v>
      </c>
      <c r="T9" s="4">
        <v>0</v>
      </c>
      <c r="U9" s="4">
        <v>0</v>
      </c>
      <c r="V9" s="4">
        <v>32</v>
      </c>
      <c r="W9" s="4">
        <v>33</v>
      </c>
      <c r="X9" s="4">
        <v>3</v>
      </c>
      <c r="Y9" s="4">
        <v>6</v>
      </c>
      <c r="Z9" s="4">
        <v>3</v>
      </c>
      <c r="AA9" s="4">
        <v>7</v>
      </c>
      <c r="AB9" s="4">
        <v>2</v>
      </c>
      <c r="AC9" s="4">
        <v>5</v>
      </c>
      <c r="AD9" s="4">
        <v>1</v>
      </c>
      <c r="AE9" s="4">
        <v>4</v>
      </c>
      <c r="AH9" s="6">
        <v>2</v>
      </c>
      <c r="AI9" s="4">
        <v>7</v>
      </c>
      <c r="AL9" s="87" t="s">
        <v>388</v>
      </c>
      <c r="AN9" s="87" t="s">
        <v>388</v>
      </c>
      <c r="AV9" s="87" t="s">
        <v>388</v>
      </c>
      <c r="BD9" s="3">
        <v>6</v>
      </c>
    </row>
    <row r="10" spans="1:56" ht="15.75">
      <c r="B10" s="3">
        <v>7</v>
      </c>
      <c r="D10" s="87" t="s">
        <v>388</v>
      </c>
      <c r="F10" s="87" t="s">
        <v>388</v>
      </c>
      <c r="H10" s="4">
        <v>3</v>
      </c>
      <c r="I10" s="4">
        <v>4</v>
      </c>
      <c r="J10" s="4">
        <v>12</v>
      </c>
      <c r="K10" s="4">
        <v>14</v>
      </c>
      <c r="L10" s="4">
        <v>6</v>
      </c>
      <c r="M10" s="4">
        <v>6</v>
      </c>
      <c r="N10" s="4">
        <v>6</v>
      </c>
      <c r="O10" s="4">
        <v>6</v>
      </c>
      <c r="T10" s="4">
        <v>1</v>
      </c>
      <c r="U10" s="4">
        <v>1</v>
      </c>
      <c r="V10" s="87" t="s">
        <v>388</v>
      </c>
      <c r="X10" s="87" t="s">
        <v>388</v>
      </c>
      <c r="Z10" s="87" t="s">
        <v>388</v>
      </c>
      <c r="AB10" s="87" t="s">
        <v>388</v>
      </c>
      <c r="AD10" s="4">
        <v>5</v>
      </c>
      <c r="AE10" s="4">
        <v>7</v>
      </c>
      <c r="AF10" s="4">
        <v>0</v>
      </c>
      <c r="AG10" s="4">
        <v>0</v>
      </c>
      <c r="AH10" s="88" t="s">
        <v>388</v>
      </c>
      <c r="AL10" s="87" t="s">
        <v>388</v>
      </c>
      <c r="AN10" s="87" t="s">
        <v>388</v>
      </c>
      <c r="AV10" s="87" t="s">
        <v>388</v>
      </c>
      <c r="BD10" s="3">
        <v>7</v>
      </c>
    </row>
    <row r="11" spans="1:56" ht="15.75">
      <c r="B11" s="3">
        <v>8</v>
      </c>
      <c r="D11" s="87" t="s">
        <v>388</v>
      </c>
      <c r="F11" s="87" t="s">
        <v>388</v>
      </c>
      <c r="H11" s="4">
        <v>5</v>
      </c>
      <c r="I11" s="4">
        <v>6</v>
      </c>
      <c r="J11" s="4">
        <v>15</v>
      </c>
      <c r="K11" s="4">
        <v>17</v>
      </c>
      <c r="L11" s="87" t="s">
        <v>388</v>
      </c>
      <c r="N11" s="4">
        <v>7</v>
      </c>
      <c r="O11" s="4">
        <v>10</v>
      </c>
      <c r="T11" s="4">
        <v>2</v>
      </c>
      <c r="U11" s="4">
        <v>9</v>
      </c>
      <c r="V11" s="87" t="s">
        <v>388</v>
      </c>
      <c r="X11" s="87" t="s">
        <v>388</v>
      </c>
      <c r="Z11" s="87" t="s">
        <v>388</v>
      </c>
      <c r="AB11" s="87" t="s">
        <v>388</v>
      </c>
      <c r="AD11" s="87" t="s">
        <v>388</v>
      </c>
      <c r="AF11" s="87" t="s">
        <v>388</v>
      </c>
      <c r="AH11" s="88" t="s">
        <v>388</v>
      </c>
      <c r="AL11" s="4">
        <v>10</v>
      </c>
      <c r="AM11" s="4">
        <v>10</v>
      </c>
      <c r="AN11" s="4">
        <v>5</v>
      </c>
      <c r="AO11" s="4">
        <v>6</v>
      </c>
      <c r="AT11" s="4">
        <v>0</v>
      </c>
      <c r="AU11" s="4">
        <v>0</v>
      </c>
      <c r="AV11" s="4">
        <v>7</v>
      </c>
      <c r="AW11" s="4">
        <v>8</v>
      </c>
      <c r="BD11" s="3">
        <v>8</v>
      </c>
    </row>
    <row r="12" spans="1:56" ht="15.75">
      <c r="B12" s="3">
        <v>9</v>
      </c>
      <c r="D12" s="4">
        <v>13</v>
      </c>
      <c r="E12" s="4">
        <v>19</v>
      </c>
      <c r="F12" s="87" t="s">
        <v>388</v>
      </c>
      <c r="H12" s="4">
        <v>7</v>
      </c>
      <c r="I12" s="4">
        <v>9</v>
      </c>
      <c r="J12" s="4">
        <v>18</v>
      </c>
      <c r="K12" s="4">
        <v>18</v>
      </c>
      <c r="L12" s="4">
        <v>7</v>
      </c>
      <c r="M12" s="4">
        <v>8</v>
      </c>
      <c r="N12" s="4">
        <v>11</v>
      </c>
      <c r="O12" s="4">
        <v>11</v>
      </c>
      <c r="T12" s="87" t="s">
        <v>388</v>
      </c>
      <c r="V12" s="4">
        <v>34</v>
      </c>
      <c r="W12" s="4">
        <v>36</v>
      </c>
      <c r="X12" s="4">
        <v>7</v>
      </c>
      <c r="Y12" s="4">
        <v>8</v>
      </c>
      <c r="Z12" s="87" t="s">
        <v>388</v>
      </c>
      <c r="AB12" s="4">
        <v>6</v>
      </c>
      <c r="AC12" s="4">
        <v>7</v>
      </c>
      <c r="AD12" s="87" t="s">
        <v>388</v>
      </c>
      <c r="AF12" s="4">
        <v>1</v>
      </c>
      <c r="AG12" s="4">
        <v>1</v>
      </c>
      <c r="AH12" s="88" t="s">
        <v>388</v>
      </c>
      <c r="AL12" s="4">
        <v>11</v>
      </c>
      <c r="AM12" s="4">
        <v>19</v>
      </c>
      <c r="AN12" s="4">
        <v>7</v>
      </c>
      <c r="AO12" s="4">
        <v>9</v>
      </c>
      <c r="AT12" s="4">
        <v>1</v>
      </c>
      <c r="AU12" s="4">
        <v>1</v>
      </c>
      <c r="AV12" s="4">
        <v>9</v>
      </c>
      <c r="AW12" s="4">
        <v>12</v>
      </c>
      <c r="BD12" s="3">
        <v>9</v>
      </c>
    </row>
    <row r="13" spans="1:56" ht="15.75">
      <c r="B13" s="3">
        <v>10</v>
      </c>
      <c r="D13" s="87" t="s">
        <v>388</v>
      </c>
      <c r="F13" s="4">
        <v>12</v>
      </c>
      <c r="G13" s="4">
        <v>17</v>
      </c>
      <c r="H13" s="87" t="s">
        <v>388</v>
      </c>
      <c r="J13" s="4">
        <v>19</v>
      </c>
      <c r="K13" s="4">
        <v>23</v>
      </c>
      <c r="L13" s="4">
        <v>9</v>
      </c>
      <c r="M13" s="4">
        <v>11</v>
      </c>
      <c r="N13" s="87" t="s">
        <v>388</v>
      </c>
      <c r="P13" s="4">
        <v>0</v>
      </c>
      <c r="Q13" s="4">
        <v>0</v>
      </c>
      <c r="T13" s="87" t="s">
        <v>388</v>
      </c>
      <c r="V13" s="4">
        <v>37</v>
      </c>
      <c r="W13" s="4">
        <v>37</v>
      </c>
      <c r="X13" s="4">
        <v>9</v>
      </c>
      <c r="Y13" s="4">
        <v>12</v>
      </c>
      <c r="Z13" s="4">
        <v>8</v>
      </c>
      <c r="AA13" s="4">
        <v>10</v>
      </c>
      <c r="AB13" s="4">
        <v>8</v>
      </c>
      <c r="AC13" s="4">
        <v>11</v>
      </c>
      <c r="AD13" s="87" t="s">
        <v>388</v>
      </c>
      <c r="AF13" s="4">
        <v>2</v>
      </c>
      <c r="AG13" s="4">
        <v>8</v>
      </c>
      <c r="AH13" s="6">
        <v>8</v>
      </c>
      <c r="AI13" s="4">
        <v>14</v>
      </c>
      <c r="AL13" s="87" t="s">
        <v>388</v>
      </c>
      <c r="AN13" s="87" t="s">
        <v>388</v>
      </c>
      <c r="AT13" s="4">
        <v>2</v>
      </c>
      <c r="AU13" s="4">
        <v>11</v>
      </c>
      <c r="AV13" s="87" t="s">
        <v>388</v>
      </c>
      <c r="BD13" s="3">
        <v>10</v>
      </c>
    </row>
    <row r="14" spans="1:56" ht="15.75">
      <c r="B14" s="3">
        <v>11</v>
      </c>
      <c r="D14" s="87" t="s">
        <v>388</v>
      </c>
      <c r="F14" s="87" t="s">
        <v>388</v>
      </c>
      <c r="H14" s="87" t="s">
        <v>388</v>
      </c>
      <c r="J14" s="87" t="s">
        <v>388</v>
      </c>
      <c r="L14" s="4">
        <v>12</v>
      </c>
      <c r="M14" s="4">
        <v>12</v>
      </c>
      <c r="N14" s="87" t="s">
        <v>388</v>
      </c>
      <c r="P14" s="4">
        <v>1</v>
      </c>
      <c r="Q14" s="4">
        <v>2</v>
      </c>
      <c r="R14" s="4">
        <v>0</v>
      </c>
      <c r="S14" s="4">
        <v>0</v>
      </c>
      <c r="T14" s="87" t="s">
        <v>388</v>
      </c>
      <c r="V14" s="87" t="s">
        <v>388</v>
      </c>
      <c r="X14" s="87" t="s">
        <v>388</v>
      </c>
      <c r="Z14" s="4">
        <v>11</v>
      </c>
      <c r="AA14" s="4">
        <v>14</v>
      </c>
      <c r="AB14" s="87" t="s">
        <v>388</v>
      </c>
      <c r="AD14" s="87" t="s">
        <v>388</v>
      </c>
      <c r="AF14" s="87" t="s">
        <v>388</v>
      </c>
      <c r="AH14" s="88" t="s">
        <v>388</v>
      </c>
      <c r="AJ14" s="4">
        <v>0</v>
      </c>
      <c r="AK14" s="4">
        <v>0</v>
      </c>
      <c r="AL14" s="87" t="s">
        <v>388</v>
      </c>
      <c r="AN14" s="87" t="s">
        <v>388</v>
      </c>
      <c r="AT14" s="87" t="s">
        <v>388</v>
      </c>
      <c r="AV14" s="87" t="s">
        <v>388</v>
      </c>
      <c r="BD14" s="3">
        <v>11</v>
      </c>
    </row>
    <row r="15" spans="1:56" ht="15.75">
      <c r="B15" s="3">
        <v>12</v>
      </c>
      <c r="D15" s="87" t="s">
        <v>388</v>
      </c>
      <c r="F15" s="87" t="s">
        <v>388</v>
      </c>
      <c r="H15" s="87" t="s">
        <v>388</v>
      </c>
      <c r="J15" s="87" t="s">
        <v>388</v>
      </c>
      <c r="L15" s="87" t="s">
        <v>388</v>
      </c>
      <c r="N15" s="87" t="s">
        <v>388</v>
      </c>
      <c r="P15" s="4">
        <v>3</v>
      </c>
      <c r="Q15" s="4">
        <v>11</v>
      </c>
      <c r="R15" s="4">
        <v>1</v>
      </c>
      <c r="S15" s="4">
        <v>15</v>
      </c>
      <c r="T15" s="87" t="s">
        <v>388</v>
      </c>
      <c r="V15" s="4">
        <v>38</v>
      </c>
      <c r="W15" s="4">
        <v>39</v>
      </c>
      <c r="X15" s="87" t="s">
        <v>388</v>
      </c>
      <c r="Z15" s="87" t="s">
        <v>388</v>
      </c>
      <c r="AB15" s="87" t="s">
        <v>388</v>
      </c>
      <c r="AD15" s="4">
        <v>8</v>
      </c>
      <c r="AE15" s="4">
        <v>8</v>
      </c>
      <c r="AF15" s="87" t="s">
        <v>388</v>
      </c>
      <c r="AH15" s="88" t="s">
        <v>388</v>
      </c>
      <c r="AJ15" s="4">
        <v>1</v>
      </c>
      <c r="AK15" s="4">
        <v>9</v>
      </c>
      <c r="AL15" s="87" t="s">
        <v>388</v>
      </c>
      <c r="AN15" s="87" t="s">
        <v>388</v>
      </c>
      <c r="AT15" s="87" t="s">
        <v>388</v>
      </c>
      <c r="AV15" s="87" t="s">
        <v>388</v>
      </c>
      <c r="BD15" s="3">
        <v>12</v>
      </c>
    </row>
    <row r="16" spans="1:56" ht="15.75">
      <c r="B16" s="3">
        <v>13</v>
      </c>
      <c r="D16" s="4">
        <v>20</v>
      </c>
      <c r="E16" s="4">
        <v>20</v>
      </c>
      <c r="F16" s="87" t="s">
        <v>388</v>
      </c>
      <c r="H16" s="4">
        <v>10</v>
      </c>
      <c r="I16" s="4">
        <v>11</v>
      </c>
      <c r="J16" s="87" t="s">
        <v>388</v>
      </c>
      <c r="L16" s="87" t="s">
        <v>388</v>
      </c>
      <c r="N16" s="4">
        <v>12</v>
      </c>
      <c r="O16" s="4">
        <v>13</v>
      </c>
      <c r="P16" s="87" t="s">
        <v>388</v>
      </c>
      <c r="R16" s="4">
        <v>16</v>
      </c>
      <c r="S16" s="4">
        <v>18</v>
      </c>
      <c r="T16" s="4">
        <v>10</v>
      </c>
      <c r="U16" s="4">
        <v>18</v>
      </c>
      <c r="V16" s="4">
        <v>40</v>
      </c>
      <c r="W16" s="4">
        <v>40</v>
      </c>
      <c r="X16" s="4">
        <v>13</v>
      </c>
      <c r="Y16" s="4">
        <v>13</v>
      </c>
      <c r="Z16" s="87" t="s">
        <v>388</v>
      </c>
      <c r="AB16" s="87" t="s">
        <v>388</v>
      </c>
      <c r="AD16" s="4">
        <v>9</v>
      </c>
      <c r="AE16" s="4">
        <v>14</v>
      </c>
      <c r="AF16" s="87" t="s">
        <v>388</v>
      </c>
      <c r="AH16" s="88" t="s">
        <v>388</v>
      </c>
      <c r="AJ16" s="87" t="s">
        <v>388</v>
      </c>
      <c r="AL16" s="87" t="s">
        <v>388</v>
      </c>
      <c r="AN16" s="4">
        <v>10</v>
      </c>
      <c r="AO16" s="4">
        <v>10</v>
      </c>
      <c r="AT16" s="87" t="s">
        <v>388</v>
      </c>
      <c r="AV16" s="4">
        <v>13</v>
      </c>
      <c r="AW16" s="4">
        <v>13</v>
      </c>
      <c r="AX16" s="4">
        <v>0</v>
      </c>
      <c r="AY16" s="4">
        <v>0</v>
      </c>
      <c r="BD16" s="3">
        <v>13</v>
      </c>
    </row>
    <row r="17" spans="2:56" ht="15.75">
      <c r="B17" s="3">
        <v>14</v>
      </c>
      <c r="D17" s="4">
        <v>21</v>
      </c>
      <c r="E17" s="4">
        <v>26</v>
      </c>
      <c r="F17" s="87" t="s">
        <v>388</v>
      </c>
      <c r="H17" s="4">
        <v>12</v>
      </c>
      <c r="I17" s="4">
        <v>14</v>
      </c>
      <c r="J17" s="4">
        <v>24</v>
      </c>
      <c r="K17" s="4">
        <v>24</v>
      </c>
      <c r="L17" s="4">
        <v>13</v>
      </c>
      <c r="M17" s="4">
        <v>18</v>
      </c>
      <c r="N17" s="4">
        <v>14</v>
      </c>
      <c r="O17" s="4">
        <v>16</v>
      </c>
      <c r="P17" s="87" t="s">
        <v>388</v>
      </c>
      <c r="R17" s="4">
        <v>19</v>
      </c>
      <c r="S17" s="4">
        <v>19</v>
      </c>
      <c r="T17" s="4">
        <v>19</v>
      </c>
      <c r="U17" s="4">
        <v>19</v>
      </c>
      <c r="V17" s="87" t="s">
        <v>388</v>
      </c>
      <c r="X17" s="4">
        <v>14</v>
      </c>
      <c r="Y17" s="4">
        <v>19</v>
      </c>
      <c r="Z17" s="87" t="s">
        <v>388</v>
      </c>
      <c r="AB17" s="4">
        <v>12</v>
      </c>
      <c r="AC17" s="4">
        <v>13</v>
      </c>
      <c r="AD17" s="87" t="s">
        <v>388</v>
      </c>
      <c r="AF17" s="87" t="s">
        <v>388</v>
      </c>
      <c r="AH17" s="6">
        <v>15</v>
      </c>
      <c r="AI17" s="4">
        <v>15</v>
      </c>
      <c r="AJ17" s="87" t="s">
        <v>388</v>
      </c>
      <c r="AL17" s="87" t="s">
        <v>388</v>
      </c>
      <c r="AN17" s="4">
        <v>11</v>
      </c>
      <c r="AO17" s="4">
        <v>14</v>
      </c>
      <c r="AT17" s="87" t="s">
        <v>388</v>
      </c>
      <c r="AV17" s="4">
        <v>14</v>
      </c>
      <c r="AW17" s="4">
        <v>19</v>
      </c>
      <c r="AX17" s="4">
        <v>1</v>
      </c>
      <c r="AY17" s="4">
        <v>1</v>
      </c>
      <c r="BD17" s="3">
        <v>14</v>
      </c>
    </row>
    <row r="18" spans="2:56" ht="15.75">
      <c r="B18" s="3">
        <v>15</v>
      </c>
      <c r="D18" s="87" t="s">
        <v>388</v>
      </c>
      <c r="F18" s="87" t="s">
        <v>388</v>
      </c>
      <c r="H18" s="87" t="s">
        <v>388</v>
      </c>
      <c r="J18" s="4">
        <v>25</v>
      </c>
      <c r="K18" s="4">
        <v>29</v>
      </c>
      <c r="L18" s="4">
        <v>19</v>
      </c>
      <c r="M18" s="4">
        <v>19</v>
      </c>
      <c r="N18" s="4">
        <v>17</v>
      </c>
      <c r="O18" s="4">
        <v>17</v>
      </c>
      <c r="P18" s="4">
        <v>12</v>
      </c>
      <c r="Q18" s="4">
        <v>22</v>
      </c>
      <c r="R18" s="87" t="s">
        <v>388</v>
      </c>
      <c r="T18" s="87" t="s">
        <v>388</v>
      </c>
      <c r="V18" s="87" t="s">
        <v>388</v>
      </c>
      <c r="X18" s="87" t="s">
        <v>388</v>
      </c>
      <c r="Z18" s="4">
        <v>15</v>
      </c>
      <c r="AA18" s="4">
        <v>15</v>
      </c>
      <c r="AB18" s="4">
        <v>14</v>
      </c>
      <c r="AC18" s="4">
        <v>17</v>
      </c>
      <c r="AD18" s="87" t="s">
        <v>388</v>
      </c>
      <c r="AF18" s="4">
        <v>9</v>
      </c>
      <c r="AG18" s="4">
        <v>16</v>
      </c>
      <c r="AH18" s="6">
        <v>16</v>
      </c>
      <c r="AI18" s="4">
        <v>22</v>
      </c>
      <c r="AJ18" s="87" t="s">
        <v>388</v>
      </c>
      <c r="AL18" s="4">
        <v>20</v>
      </c>
      <c r="AM18" s="4">
        <v>28</v>
      </c>
      <c r="AN18" s="87" t="s">
        <v>388</v>
      </c>
      <c r="AT18" s="87" t="s">
        <v>388</v>
      </c>
      <c r="AV18" s="87" t="s">
        <v>388</v>
      </c>
      <c r="AX18" s="4">
        <v>2</v>
      </c>
      <c r="AY18" s="4">
        <v>7</v>
      </c>
      <c r="BD18" s="3">
        <v>15</v>
      </c>
    </row>
    <row r="19" spans="2:56" ht="15.75">
      <c r="B19" s="3">
        <v>16</v>
      </c>
      <c r="D19" s="87" t="s">
        <v>388</v>
      </c>
      <c r="F19" s="4">
        <v>18</v>
      </c>
      <c r="G19" s="4">
        <v>23</v>
      </c>
      <c r="H19" s="87" t="s">
        <v>388</v>
      </c>
      <c r="J19" s="87" t="s">
        <v>388</v>
      </c>
      <c r="L19" s="87" t="s">
        <v>388</v>
      </c>
      <c r="N19" s="87" t="s">
        <v>388</v>
      </c>
      <c r="P19" s="4">
        <v>23</v>
      </c>
      <c r="Q19" s="4">
        <v>23</v>
      </c>
      <c r="R19" s="87" t="s">
        <v>388</v>
      </c>
      <c r="T19" s="87" t="s">
        <v>388</v>
      </c>
      <c r="V19" s="4">
        <v>41</v>
      </c>
      <c r="W19" s="4">
        <v>41</v>
      </c>
      <c r="X19" s="87" t="s">
        <v>388</v>
      </c>
      <c r="Z19" s="4">
        <v>16</v>
      </c>
      <c r="AA19" s="4">
        <v>22</v>
      </c>
      <c r="AB19" s="87" t="s">
        <v>388</v>
      </c>
      <c r="AD19" s="87" t="s">
        <v>388</v>
      </c>
      <c r="AF19" s="87" t="s">
        <v>388</v>
      </c>
      <c r="AH19" s="88" t="s">
        <v>388</v>
      </c>
      <c r="AJ19" s="87" t="s">
        <v>388</v>
      </c>
      <c r="AL19" s="4">
        <v>29</v>
      </c>
      <c r="AM19" s="4">
        <v>29</v>
      </c>
      <c r="AN19" s="87" t="s">
        <v>388</v>
      </c>
      <c r="AT19" s="87" t="s">
        <v>388</v>
      </c>
      <c r="AV19" s="87" t="s">
        <v>388</v>
      </c>
      <c r="AX19" s="4">
        <v>8</v>
      </c>
      <c r="AY19" s="4">
        <v>8</v>
      </c>
      <c r="BD19" s="3">
        <v>16</v>
      </c>
    </row>
    <row r="20" spans="2:56" ht="15.75">
      <c r="B20" s="3">
        <v>17</v>
      </c>
      <c r="D20" s="87" t="s">
        <v>388</v>
      </c>
      <c r="F20" s="87" t="s">
        <v>388</v>
      </c>
      <c r="H20" s="4">
        <v>15</v>
      </c>
      <c r="I20" s="4">
        <v>17</v>
      </c>
      <c r="J20" s="87" t="s">
        <v>388</v>
      </c>
      <c r="L20" s="87" t="s">
        <v>388</v>
      </c>
      <c r="N20" s="87" t="s">
        <v>388</v>
      </c>
      <c r="P20" s="87" t="s">
        <v>388</v>
      </c>
      <c r="R20" s="87" t="s">
        <v>388</v>
      </c>
      <c r="T20" s="87" t="s">
        <v>388</v>
      </c>
      <c r="V20" s="4">
        <v>42</v>
      </c>
      <c r="W20" s="4">
        <v>43</v>
      </c>
      <c r="X20" s="87" t="s">
        <v>388</v>
      </c>
      <c r="Z20" s="87" t="s">
        <v>388</v>
      </c>
      <c r="AB20" s="87" t="s">
        <v>388</v>
      </c>
      <c r="AD20" s="87" t="s">
        <v>388</v>
      </c>
      <c r="AF20" s="87" t="s">
        <v>388</v>
      </c>
      <c r="AH20" s="88" t="s">
        <v>388</v>
      </c>
      <c r="AJ20" s="4">
        <v>10</v>
      </c>
      <c r="AK20" s="4">
        <v>10</v>
      </c>
      <c r="AL20" s="87" t="s">
        <v>388</v>
      </c>
      <c r="AN20" s="87" t="s">
        <v>388</v>
      </c>
      <c r="AT20" s="87" t="s">
        <v>388</v>
      </c>
      <c r="AV20" s="87" t="s">
        <v>388</v>
      </c>
      <c r="AX20" s="87" t="s">
        <v>388</v>
      </c>
      <c r="AZ20" s="4">
        <v>0</v>
      </c>
      <c r="BA20" s="4">
        <v>0</v>
      </c>
      <c r="BD20" s="3">
        <v>17</v>
      </c>
    </row>
    <row r="21" spans="2:56" ht="15.75">
      <c r="B21" s="3">
        <v>18</v>
      </c>
      <c r="D21" s="4">
        <v>27</v>
      </c>
      <c r="E21" s="4">
        <v>27</v>
      </c>
      <c r="F21" s="87" t="s">
        <v>388</v>
      </c>
      <c r="H21" s="4">
        <v>18</v>
      </c>
      <c r="I21" s="4">
        <v>19</v>
      </c>
      <c r="J21" s="87" t="s">
        <v>388</v>
      </c>
      <c r="L21" s="4">
        <v>20</v>
      </c>
      <c r="M21" s="4">
        <v>25</v>
      </c>
      <c r="N21" s="87" t="s">
        <v>388</v>
      </c>
      <c r="P21" s="87" t="s">
        <v>388</v>
      </c>
      <c r="R21" s="87" t="s">
        <v>388</v>
      </c>
      <c r="T21" s="87" t="s">
        <v>388</v>
      </c>
      <c r="V21" s="4">
        <v>44</v>
      </c>
      <c r="W21" s="4">
        <v>44</v>
      </c>
      <c r="X21" s="87" t="s">
        <v>388</v>
      </c>
      <c r="Z21" s="87" t="s">
        <v>388</v>
      </c>
      <c r="AB21" s="4">
        <v>18</v>
      </c>
      <c r="AC21" s="4">
        <v>23</v>
      </c>
      <c r="AD21" s="4">
        <v>15</v>
      </c>
      <c r="AE21" s="4">
        <v>15</v>
      </c>
      <c r="AF21" s="87" t="s">
        <v>388</v>
      </c>
      <c r="AH21" s="88" t="s">
        <v>388</v>
      </c>
      <c r="AJ21" s="87" t="s">
        <v>388</v>
      </c>
      <c r="AL21" s="87" t="s">
        <v>388</v>
      </c>
      <c r="AN21" s="4">
        <v>15</v>
      </c>
      <c r="AO21" s="4">
        <v>19</v>
      </c>
      <c r="AT21" s="4">
        <v>12</v>
      </c>
      <c r="AU21" s="4">
        <v>12</v>
      </c>
      <c r="AV21" s="87" t="s">
        <v>388</v>
      </c>
      <c r="AX21" s="87" t="s">
        <v>388</v>
      </c>
      <c r="AZ21" s="87" t="s">
        <v>388</v>
      </c>
      <c r="BD21" s="3">
        <v>18</v>
      </c>
    </row>
    <row r="22" spans="2:56" ht="15.75">
      <c r="B22" s="3">
        <v>19</v>
      </c>
      <c r="D22" s="4">
        <v>28</v>
      </c>
      <c r="E22" s="4">
        <v>31</v>
      </c>
      <c r="F22" s="87" t="s">
        <v>388</v>
      </c>
      <c r="H22" s="87" t="s">
        <v>388</v>
      </c>
      <c r="J22" s="87" t="s">
        <v>388</v>
      </c>
      <c r="L22" s="4">
        <v>26</v>
      </c>
      <c r="M22" s="4">
        <v>26</v>
      </c>
      <c r="N22" s="4">
        <v>18</v>
      </c>
      <c r="O22" s="4">
        <v>22</v>
      </c>
      <c r="P22" s="87" t="s">
        <v>388</v>
      </c>
      <c r="R22" s="87" t="s">
        <v>388</v>
      </c>
      <c r="T22" s="87" t="s">
        <v>388</v>
      </c>
      <c r="V22" s="87" t="s">
        <v>388</v>
      </c>
      <c r="X22" s="4">
        <v>20</v>
      </c>
      <c r="Y22" s="4">
        <v>26</v>
      </c>
      <c r="Z22" s="87" t="s">
        <v>388</v>
      </c>
      <c r="AB22" s="87" t="s">
        <v>388</v>
      </c>
      <c r="AD22" s="4">
        <v>16</v>
      </c>
      <c r="AE22" s="4">
        <v>22</v>
      </c>
      <c r="AF22" s="87" t="s">
        <v>388</v>
      </c>
      <c r="AH22" s="6">
        <v>23</v>
      </c>
      <c r="AI22" s="4">
        <v>23</v>
      </c>
      <c r="AJ22" s="4">
        <v>11</v>
      </c>
      <c r="AK22" s="4">
        <v>18</v>
      </c>
      <c r="AL22" s="87" t="s">
        <v>388</v>
      </c>
      <c r="AN22" s="87" t="s">
        <v>388</v>
      </c>
      <c r="AT22" s="4">
        <v>13</v>
      </c>
      <c r="AU22" s="4">
        <v>23</v>
      </c>
      <c r="AV22" s="87" t="s">
        <v>388</v>
      </c>
      <c r="AX22" s="87" t="s">
        <v>388</v>
      </c>
      <c r="AZ22" s="4">
        <v>1</v>
      </c>
      <c r="BA22" s="4">
        <v>1</v>
      </c>
      <c r="BD22" s="3">
        <v>19</v>
      </c>
    </row>
    <row r="23" spans="2:56" ht="15.75">
      <c r="B23" s="3">
        <v>20</v>
      </c>
      <c r="D23" s="4">
        <v>32</v>
      </c>
      <c r="E23" s="4">
        <v>32</v>
      </c>
      <c r="F23" s="4">
        <v>24</v>
      </c>
      <c r="G23" s="4">
        <v>27</v>
      </c>
      <c r="H23" s="4">
        <v>20</v>
      </c>
      <c r="I23" s="4">
        <v>23</v>
      </c>
      <c r="J23" s="4">
        <v>30</v>
      </c>
      <c r="K23" s="4">
        <v>32</v>
      </c>
      <c r="L23" s="87" t="s">
        <v>388</v>
      </c>
      <c r="N23" s="87" t="s">
        <v>388</v>
      </c>
      <c r="P23" s="87" t="s">
        <v>388</v>
      </c>
      <c r="R23" s="87" t="s">
        <v>388</v>
      </c>
      <c r="T23" s="87" t="s">
        <v>388</v>
      </c>
      <c r="V23" s="4">
        <v>45</v>
      </c>
      <c r="W23" s="4">
        <v>47</v>
      </c>
      <c r="X23" s="87" t="s">
        <v>388</v>
      </c>
      <c r="Z23" s="87" t="s">
        <v>388</v>
      </c>
      <c r="AB23" s="87" t="s">
        <v>388</v>
      </c>
      <c r="AD23" s="87" t="s">
        <v>388</v>
      </c>
      <c r="AF23" s="87" t="s">
        <v>388</v>
      </c>
      <c r="AH23" s="6">
        <v>24</v>
      </c>
      <c r="AI23" s="4">
        <v>29</v>
      </c>
      <c r="AJ23" s="4">
        <v>19</v>
      </c>
      <c r="AK23" s="4">
        <v>19</v>
      </c>
      <c r="AL23" s="87" t="s">
        <v>388</v>
      </c>
      <c r="AN23" s="87" t="s">
        <v>388</v>
      </c>
      <c r="AT23" s="87" t="s">
        <v>388</v>
      </c>
      <c r="AV23" s="4">
        <v>20</v>
      </c>
      <c r="AW23" s="4">
        <v>26</v>
      </c>
      <c r="AX23" s="87" t="s">
        <v>388</v>
      </c>
      <c r="AZ23" s="4">
        <v>2</v>
      </c>
      <c r="BA23" s="4">
        <v>28</v>
      </c>
      <c r="BD23" s="3">
        <v>20</v>
      </c>
    </row>
    <row r="24" spans="2:56" ht="15.75">
      <c r="B24" s="3">
        <v>21</v>
      </c>
      <c r="D24" s="87" t="s">
        <v>388</v>
      </c>
      <c r="F24" s="4">
        <v>28</v>
      </c>
      <c r="G24" s="4">
        <v>29</v>
      </c>
      <c r="H24" s="4">
        <v>24</v>
      </c>
      <c r="I24" s="4">
        <v>24</v>
      </c>
      <c r="J24" s="4">
        <v>33</v>
      </c>
      <c r="K24" s="4">
        <v>35</v>
      </c>
      <c r="L24" s="87" t="s">
        <v>388</v>
      </c>
      <c r="N24" s="4">
        <v>23</v>
      </c>
      <c r="O24" s="4">
        <v>23</v>
      </c>
      <c r="P24" s="4" t="s">
        <v>388</v>
      </c>
      <c r="R24" s="87" t="s">
        <v>388</v>
      </c>
      <c r="T24" s="87" t="s">
        <v>388</v>
      </c>
      <c r="V24" s="4">
        <v>48</v>
      </c>
      <c r="W24" s="4">
        <v>48</v>
      </c>
      <c r="X24" s="87" t="s">
        <v>388</v>
      </c>
      <c r="Z24" s="87" t="s">
        <v>388</v>
      </c>
      <c r="AB24" s="87" t="s">
        <v>388</v>
      </c>
      <c r="AD24" s="87" t="s">
        <v>388</v>
      </c>
      <c r="AF24" s="87" t="s">
        <v>388</v>
      </c>
      <c r="AH24" s="88" t="s">
        <v>388</v>
      </c>
      <c r="AJ24" s="87" t="s">
        <v>388</v>
      </c>
      <c r="AL24" s="87" t="s">
        <v>388</v>
      </c>
      <c r="AN24" s="4">
        <v>20</v>
      </c>
      <c r="AO24" s="4">
        <v>24</v>
      </c>
      <c r="AT24" s="87" t="s">
        <v>388</v>
      </c>
      <c r="AV24" s="87" t="s">
        <v>388</v>
      </c>
      <c r="AX24" s="4">
        <v>9</v>
      </c>
      <c r="AY24" s="4">
        <v>10</v>
      </c>
      <c r="AZ24" s="4">
        <v>29</v>
      </c>
      <c r="BA24" s="4">
        <v>29</v>
      </c>
      <c r="BD24" s="3">
        <v>21</v>
      </c>
    </row>
    <row r="25" spans="2:56" ht="15.75">
      <c r="B25" s="3">
        <v>22</v>
      </c>
      <c r="D25" s="87" t="s">
        <v>388</v>
      </c>
      <c r="F25" s="87" t="s">
        <v>388</v>
      </c>
      <c r="H25" s="87" t="s">
        <v>388</v>
      </c>
      <c r="J25" s="87" t="s">
        <v>388</v>
      </c>
      <c r="L25" s="87" t="s">
        <v>388</v>
      </c>
      <c r="N25" s="87" t="s">
        <v>388</v>
      </c>
      <c r="P25" s="87" t="s">
        <v>388</v>
      </c>
      <c r="R25" s="87" t="s">
        <v>388</v>
      </c>
      <c r="T25" s="4">
        <v>20</v>
      </c>
      <c r="U25" s="4">
        <v>21</v>
      </c>
      <c r="V25" s="87" t="s">
        <v>388</v>
      </c>
      <c r="X25" s="87" t="s">
        <v>388</v>
      </c>
      <c r="Z25" s="4">
        <v>23</v>
      </c>
      <c r="AA25" s="4">
        <v>26</v>
      </c>
      <c r="AB25" s="87" t="s">
        <v>388</v>
      </c>
      <c r="AD25" s="87" t="s">
        <v>388</v>
      </c>
      <c r="AF25" s="87" t="s">
        <v>388</v>
      </c>
      <c r="AH25" s="88" t="s">
        <v>388</v>
      </c>
      <c r="AJ25" s="87" t="s">
        <v>388</v>
      </c>
      <c r="AL25" s="4">
        <v>30</v>
      </c>
      <c r="AM25" s="4">
        <v>30</v>
      </c>
      <c r="AN25" s="87" t="s">
        <v>388</v>
      </c>
      <c r="AT25" s="87" t="s">
        <v>388</v>
      </c>
      <c r="AV25" s="87" t="s">
        <v>388</v>
      </c>
      <c r="AX25" s="4">
        <v>11</v>
      </c>
      <c r="AY25" s="4">
        <v>16</v>
      </c>
      <c r="AZ25" s="87" t="s">
        <v>388</v>
      </c>
      <c r="BD25" s="3">
        <v>22</v>
      </c>
    </row>
    <row r="26" spans="2:56" ht="15.75">
      <c r="B26" s="3">
        <v>23</v>
      </c>
      <c r="D26" s="87" t="s">
        <v>388</v>
      </c>
      <c r="F26" s="87" t="s">
        <v>388</v>
      </c>
      <c r="H26" s="4">
        <v>25</v>
      </c>
      <c r="I26" s="4">
        <v>28</v>
      </c>
      <c r="J26" s="87" t="s">
        <v>388</v>
      </c>
      <c r="L26" s="87" t="s">
        <v>388</v>
      </c>
      <c r="N26" s="87" t="s">
        <v>388</v>
      </c>
      <c r="P26" s="87" t="s">
        <v>388</v>
      </c>
      <c r="R26" s="87" t="s">
        <v>388</v>
      </c>
      <c r="T26" s="4">
        <v>22</v>
      </c>
      <c r="U26" s="4">
        <v>28</v>
      </c>
      <c r="V26" s="87" t="s">
        <v>388</v>
      </c>
      <c r="X26" s="87" t="s">
        <v>388</v>
      </c>
      <c r="Z26" s="4">
        <v>27</v>
      </c>
      <c r="AA26" s="4">
        <v>29</v>
      </c>
      <c r="AB26" s="87" t="s">
        <v>388</v>
      </c>
      <c r="AD26" s="87" t="s">
        <v>388</v>
      </c>
      <c r="AF26" s="87" t="s">
        <v>388</v>
      </c>
      <c r="AH26" s="88" t="s">
        <v>388</v>
      </c>
      <c r="AJ26" s="87" t="s">
        <v>388</v>
      </c>
      <c r="AL26" s="4">
        <v>31</v>
      </c>
      <c r="AM26" s="4">
        <v>38</v>
      </c>
      <c r="AN26" s="87" t="s">
        <v>388</v>
      </c>
      <c r="AT26" s="87" t="s">
        <v>388</v>
      </c>
      <c r="AV26" s="4">
        <v>27</v>
      </c>
      <c r="AW26" s="4">
        <v>27</v>
      </c>
      <c r="AX26" s="87" t="s">
        <v>388</v>
      </c>
      <c r="AZ26" s="87" t="s">
        <v>388</v>
      </c>
      <c r="BD26" s="3">
        <v>23</v>
      </c>
    </row>
    <row r="27" spans="2:56" ht="15.75">
      <c r="B27" s="3">
        <v>24</v>
      </c>
      <c r="D27" s="87" t="s">
        <v>388</v>
      </c>
      <c r="F27" s="87" t="s">
        <v>388</v>
      </c>
      <c r="H27" s="4">
        <v>29</v>
      </c>
      <c r="I27" s="4">
        <v>29</v>
      </c>
      <c r="J27" s="87" t="s">
        <v>388</v>
      </c>
      <c r="L27" s="4">
        <v>27</v>
      </c>
      <c r="M27" s="4">
        <v>28</v>
      </c>
      <c r="N27" s="4">
        <v>24</v>
      </c>
      <c r="O27" s="4">
        <v>28</v>
      </c>
      <c r="P27" s="87" t="s">
        <v>388</v>
      </c>
      <c r="R27" s="87" t="s">
        <v>388</v>
      </c>
      <c r="T27" s="4">
        <v>29</v>
      </c>
      <c r="U27" s="4">
        <v>29</v>
      </c>
      <c r="V27" s="87" t="s">
        <v>388</v>
      </c>
      <c r="X27" s="4">
        <v>27</v>
      </c>
      <c r="Y27" s="4">
        <v>32</v>
      </c>
      <c r="Z27" s="87" t="s">
        <v>388</v>
      </c>
      <c r="AB27" s="4">
        <v>24</v>
      </c>
      <c r="AC27" s="4">
        <v>29</v>
      </c>
      <c r="AD27" s="4">
        <v>23</v>
      </c>
      <c r="AE27" s="4">
        <v>29</v>
      </c>
      <c r="AF27" s="4">
        <v>17</v>
      </c>
      <c r="AG27" s="4">
        <v>25</v>
      </c>
      <c r="AH27" s="88" t="s">
        <v>388</v>
      </c>
      <c r="AJ27" s="87" t="s">
        <v>388</v>
      </c>
      <c r="AL27" s="4">
        <v>39</v>
      </c>
      <c r="AM27" s="4">
        <v>39</v>
      </c>
      <c r="AN27" s="4">
        <v>25</v>
      </c>
      <c r="AO27" s="4">
        <v>28</v>
      </c>
      <c r="AR27" s="4">
        <v>0</v>
      </c>
      <c r="AS27" s="4">
        <v>0</v>
      </c>
      <c r="AT27" s="87" t="s">
        <v>388</v>
      </c>
      <c r="AV27" s="4">
        <v>28</v>
      </c>
      <c r="AW27" s="4">
        <v>32</v>
      </c>
      <c r="AX27" s="87" t="s">
        <v>388</v>
      </c>
      <c r="AZ27" s="87" t="s">
        <v>388</v>
      </c>
      <c r="BD27" s="3">
        <v>24</v>
      </c>
    </row>
    <row r="28" spans="2:56" ht="15.75">
      <c r="B28" s="3">
        <v>25</v>
      </c>
      <c r="D28" s="87" t="s">
        <v>388</v>
      </c>
      <c r="F28" s="4">
        <v>30</v>
      </c>
      <c r="G28" s="4">
        <v>34</v>
      </c>
      <c r="H28" s="87" t="s">
        <v>388</v>
      </c>
      <c r="J28" s="4">
        <v>36</v>
      </c>
      <c r="K28" s="4">
        <v>40</v>
      </c>
      <c r="L28" s="4">
        <v>29</v>
      </c>
      <c r="M28" s="4">
        <v>31</v>
      </c>
      <c r="N28" s="4">
        <v>29</v>
      </c>
      <c r="O28" s="4">
        <v>29</v>
      </c>
      <c r="P28" s="4">
        <v>24</v>
      </c>
      <c r="Q28" s="4">
        <v>25</v>
      </c>
      <c r="R28" s="4">
        <v>20</v>
      </c>
      <c r="S28" s="4">
        <v>21</v>
      </c>
      <c r="T28" s="87" t="s">
        <v>388</v>
      </c>
      <c r="V28" s="87" t="s">
        <v>388</v>
      </c>
      <c r="X28" s="87" t="s">
        <v>388</v>
      </c>
      <c r="Z28" s="87" t="s">
        <v>388</v>
      </c>
      <c r="AB28" s="87" t="s">
        <v>388</v>
      </c>
      <c r="AD28" s="87" t="s">
        <v>388</v>
      </c>
      <c r="AF28" s="87" t="s">
        <v>388</v>
      </c>
      <c r="AH28" s="88" t="s">
        <v>388</v>
      </c>
      <c r="AJ28" s="87" t="s">
        <v>388</v>
      </c>
      <c r="AL28" s="87" t="s">
        <v>388</v>
      </c>
      <c r="AN28" s="4">
        <v>29</v>
      </c>
      <c r="AO28" s="4">
        <v>29</v>
      </c>
      <c r="AR28" s="4">
        <v>1</v>
      </c>
      <c r="AS28" s="4">
        <v>4</v>
      </c>
      <c r="AT28" s="87" t="s">
        <v>388</v>
      </c>
      <c r="AV28" s="87" t="s">
        <v>388</v>
      </c>
      <c r="AX28" s="87" t="s">
        <v>388</v>
      </c>
      <c r="AZ28" s="87" t="s">
        <v>388</v>
      </c>
      <c r="BD28" s="3">
        <v>25</v>
      </c>
    </row>
    <row r="29" spans="2:56" ht="15.75">
      <c r="B29" s="3">
        <v>26</v>
      </c>
      <c r="D29" s="4">
        <v>33</v>
      </c>
      <c r="E29" s="4">
        <v>38</v>
      </c>
      <c r="F29" s="4">
        <v>35</v>
      </c>
      <c r="G29" s="4">
        <v>35</v>
      </c>
      <c r="H29" s="87" t="s">
        <v>388</v>
      </c>
      <c r="J29" s="4">
        <v>41</v>
      </c>
      <c r="K29" s="4">
        <v>41</v>
      </c>
      <c r="L29" s="4">
        <v>32</v>
      </c>
      <c r="M29" s="4">
        <v>32</v>
      </c>
      <c r="N29" s="87" t="s">
        <v>388</v>
      </c>
      <c r="P29" s="4">
        <v>26</v>
      </c>
      <c r="Q29" s="4">
        <v>27</v>
      </c>
      <c r="R29" s="4">
        <v>22</v>
      </c>
      <c r="S29" s="4">
        <v>38</v>
      </c>
      <c r="T29" s="87" t="s">
        <v>388</v>
      </c>
      <c r="V29" s="4">
        <v>49</v>
      </c>
      <c r="W29" s="4">
        <v>50</v>
      </c>
      <c r="X29" s="87" t="s">
        <v>388</v>
      </c>
      <c r="Z29" s="87" t="s">
        <v>388</v>
      </c>
      <c r="AB29" s="87" t="s">
        <v>388</v>
      </c>
      <c r="AD29" s="87" t="s">
        <v>388</v>
      </c>
      <c r="AF29" s="87" t="s">
        <v>388</v>
      </c>
      <c r="AH29" s="6">
        <v>30</v>
      </c>
      <c r="AI29" s="4">
        <v>37</v>
      </c>
      <c r="AJ29" s="87" t="s">
        <v>388</v>
      </c>
      <c r="AL29" s="87" t="s">
        <v>388</v>
      </c>
      <c r="AN29" s="87" t="s">
        <v>388</v>
      </c>
      <c r="AR29" s="4">
        <v>5</v>
      </c>
      <c r="AS29" s="4">
        <v>58</v>
      </c>
      <c r="AT29" s="87" t="s">
        <v>388</v>
      </c>
      <c r="AV29" s="87" t="s">
        <v>388</v>
      </c>
      <c r="AX29" s="87" t="s">
        <v>388</v>
      </c>
      <c r="AZ29" s="87" t="s">
        <v>388</v>
      </c>
      <c r="BD29" s="3">
        <v>26</v>
      </c>
    </row>
    <row r="30" spans="2:56" ht="15.75">
      <c r="B30" s="3">
        <v>27</v>
      </c>
      <c r="D30" s="4">
        <v>39</v>
      </c>
      <c r="E30" s="4">
        <v>39</v>
      </c>
      <c r="F30" s="87" t="s">
        <v>388</v>
      </c>
      <c r="H30" s="87" t="s">
        <v>388</v>
      </c>
      <c r="J30" s="87" t="s">
        <v>388</v>
      </c>
      <c r="L30" s="87" t="s">
        <v>388</v>
      </c>
      <c r="N30" s="87" t="s">
        <v>388</v>
      </c>
      <c r="P30" s="4">
        <v>28</v>
      </c>
      <c r="Q30" s="4">
        <v>34</v>
      </c>
      <c r="R30" s="4">
        <v>39</v>
      </c>
      <c r="S30" s="4">
        <v>39</v>
      </c>
      <c r="T30" s="87" t="s">
        <v>388</v>
      </c>
      <c r="V30" s="4">
        <v>51</v>
      </c>
      <c r="W30" s="4">
        <v>51</v>
      </c>
      <c r="X30" s="87" t="s">
        <v>388</v>
      </c>
      <c r="Z30" s="87" t="s">
        <v>388</v>
      </c>
      <c r="AB30" s="87" t="s">
        <v>388</v>
      </c>
      <c r="AD30" s="87" t="s">
        <v>388</v>
      </c>
      <c r="AF30" s="87" t="s">
        <v>388</v>
      </c>
      <c r="AH30" s="88" t="s">
        <v>388</v>
      </c>
      <c r="AJ30" s="87" t="s">
        <v>388</v>
      </c>
      <c r="AL30" s="87" t="s">
        <v>388</v>
      </c>
      <c r="AN30" s="87" t="s">
        <v>388</v>
      </c>
      <c r="AR30" s="87" t="s">
        <v>388</v>
      </c>
      <c r="AT30" s="87" t="s">
        <v>388</v>
      </c>
      <c r="AV30" s="4">
        <v>33</v>
      </c>
      <c r="AW30" s="4">
        <v>33</v>
      </c>
      <c r="AX30" s="87" t="s">
        <v>388</v>
      </c>
      <c r="AZ30" s="87" t="s">
        <v>388</v>
      </c>
      <c r="BD30" s="3">
        <v>27</v>
      </c>
    </row>
    <row r="31" spans="2:56" ht="15.75">
      <c r="B31" s="3">
        <v>28</v>
      </c>
      <c r="D31" s="87" t="s">
        <v>388</v>
      </c>
      <c r="F31" s="87" t="s">
        <v>388</v>
      </c>
      <c r="H31" s="4">
        <v>30</v>
      </c>
      <c r="I31" s="4">
        <v>31</v>
      </c>
      <c r="J31" s="87" t="s">
        <v>388</v>
      </c>
      <c r="L31" s="87" t="s">
        <v>388</v>
      </c>
      <c r="N31" s="4">
        <v>30</v>
      </c>
      <c r="O31" s="4">
        <v>30</v>
      </c>
      <c r="P31" s="4">
        <v>35</v>
      </c>
      <c r="Q31" s="4">
        <v>35</v>
      </c>
      <c r="R31" s="87" t="s">
        <v>388</v>
      </c>
      <c r="T31" s="87" t="s">
        <v>388</v>
      </c>
      <c r="V31" s="4">
        <v>52</v>
      </c>
      <c r="W31" s="4">
        <v>52</v>
      </c>
      <c r="X31" s="87" t="s">
        <v>388</v>
      </c>
      <c r="Z31" s="4">
        <v>30</v>
      </c>
      <c r="AA31" s="4">
        <v>31</v>
      </c>
      <c r="AB31" s="87" t="s">
        <v>388</v>
      </c>
      <c r="AD31" s="87" t="s">
        <v>388</v>
      </c>
      <c r="AF31" s="87" t="s">
        <v>388</v>
      </c>
      <c r="AH31" s="88" t="s">
        <v>388</v>
      </c>
      <c r="AJ31" s="4">
        <v>20</v>
      </c>
      <c r="AK31" s="4">
        <v>20</v>
      </c>
      <c r="AL31" s="87" t="s">
        <v>388</v>
      </c>
      <c r="AN31" s="4">
        <v>30</v>
      </c>
      <c r="AO31" s="4">
        <v>34</v>
      </c>
      <c r="AR31" s="87" t="s">
        <v>388</v>
      </c>
      <c r="AT31" s="4">
        <v>24</v>
      </c>
      <c r="AU31" s="4">
        <v>34</v>
      </c>
      <c r="AV31" s="4">
        <v>34</v>
      </c>
      <c r="AW31" s="4">
        <v>39</v>
      </c>
      <c r="AX31" s="4">
        <v>17</v>
      </c>
      <c r="AY31" s="4">
        <v>25</v>
      </c>
      <c r="AZ31" s="87" t="s">
        <v>388</v>
      </c>
      <c r="BD31" s="3">
        <v>28</v>
      </c>
    </row>
    <row r="32" spans="2:56" ht="15.75">
      <c r="B32" s="3">
        <v>29</v>
      </c>
      <c r="D32" s="87" t="s">
        <v>388</v>
      </c>
      <c r="F32" s="87" t="s">
        <v>388</v>
      </c>
      <c r="H32" s="4">
        <v>32</v>
      </c>
      <c r="I32" s="4">
        <v>34</v>
      </c>
      <c r="J32" s="87" t="s">
        <v>388</v>
      </c>
      <c r="L32" s="87" t="s">
        <v>388</v>
      </c>
      <c r="N32" s="4">
        <v>31</v>
      </c>
      <c r="O32" s="4">
        <v>34</v>
      </c>
      <c r="P32" s="87" t="s">
        <v>388</v>
      </c>
      <c r="R32" s="87" t="s">
        <v>388</v>
      </c>
      <c r="T32" s="87" t="s">
        <v>388</v>
      </c>
      <c r="V32" s="87" t="s">
        <v>388</v>
      </c>
      <c r="X32" s="4">
        <v>33</v>
      </c>
      <c r="Y32" s="4">
        <v>39</v>
      </c>
      <c r="Z32" s="4">
        <v>32</v>
      </c>
      <c r="AA32" s="4">
        <v>37</v>
      </c>
      <c r="AB32" s="4">
        <v>30</v>
      </c>
      <c r="AC32" s="4">
        <v>34</v>
      </c>
      <c r="AD32" s="4">
        <v>30</v>
      </c>
      <c r="AF32" s="4">
        <v>26</v>
      </c>
      <c r="AG32" s="4">
        <v>33</v>
      </c>
      <c r="AH32" s="88" t="s">
        <v>388</v>
      </c>
      <c r="AJ32" s="4">
        <v>21</v>
      </c>
      <c r="AK32" s="4">
        <v>28</v>
      </c>
      <c r="AL32" s="87" t="s">
        <v>388</v>
      </c>
      <c r="AN32" s="87" t="s">
        <v>388</v>
      </c>
      <c r="AR32" s="87" t="s">
        <v>388</v>
      </c>
      <c r="AT32" s="4">
        <v>35</v>
      </c>
      <c r="AU32" s="4">
        <v>35</v>
      </c>
      <c r="AV32" s="87" t="s">
        <v>388</v>
      </c>
      <c r="AX32" s="87" t="s">
        <v>388</v>
      </c>
      <c r="AZ32" s="87" t="s">
        <v>388</v>
      </c>
      <c r="BD32" s="3">
        <v>29</v>
      </c>
    </row>
    <row r="33" spans="2:56" ht="15.75">
      <c r="B33" s="3">
        <v>30</v>
      </c>
      <c r="D33" s="87" t="s">
        <v>388</v>
      </c>
      <c r="F33" s="87" t="s">
        <v>388</v>
      </c>
      <c r="H33" s="87" t="s">
        <v>388</v>
      </c>
      <c r="J33" s="87" t="s">
        <v>388</v>
      </c>
      <c r="L33" s="4">
        <v>33</v>
      </c>
      <c r="M33" s="4">
        <v>38</v>
      </c>
      <c r="N33" s="4">
        <v>35</v>
      </c>
      <c r="O33" s="4">
        <v>35</v>
      </c>
      <c r="P33" s="87" t="s">
        <v>388</v>
      </c>
      <c r="R33" s="87" t="s">
        <v>388</v>
      </c>
      <c r="T33" s="4">
        <v>30</v>
      </c>
      <c r="U33" s="4">
        <v>39</v>
      </c>
      <c r="V33" s="87" t="s">
        <v>388</v>
      </c>
      <c r="X33" s="87" t="s">
        <v>388</v>
      </c>
      <c r="Z33" s="87" t="s">
        <v>388</v>
      </c>
      <c r="AB33" s="4">
        <v>35</v>
      </c>
      <c r="AC33" s="4">
        <v>35</v>
      </c>
      <c r="AD33" s="4">
        <v>31</v>
      </c>
      <c r="AE33" s="4">
        <v>37</v>
      </c>
      <c r="AF33" s="87" t="s">
        <v>388</v>
      </c>
      <c r="AH33" s="88" t="s">
        <v>388</v>
      </c>
      <c r="AJ33" s="4">
        <v>29</v>
      </c>
      <c r="AK33" s="4">
        <v>29</v>
      </c>
      <c r="AL33" s="4">
        <v>40</v>
      </c>
      <c r="AM33" s="4">
        <v>48</v>
      </c>
      <c r="AN33" s="87" t="s">
        <v>388</v>
      </c>
      <c r="AR33" s="4">
        <v>59</v>
      </c>
      <c r="AS33" s="4">
        <v>59</v>
      </c>
      <c r="AT33" s="87" t="s">
        <v>388</v>
      </c>
      <c r="AV33" s="87" t="s">
        <v>388</v>
      </c>
      <c r="AX33" s="87" t="s">
        <v>388</v>
      </c>
      <c r="AZ33" s="87" t="s">
        <v>388</v>
      </c>
      <c r="BD33" s="3">
        <v>30</v>
      </c>
    </row>
    <row r="34" spans="2:56" ht="15.75">
      <c r="B34" s="3">
        <v>31</v>
      </c>
      <c r="D34" s="4">
        <v>40</v>
      </c>
      <c r="E34" s="4">
        <v>45</v>
      </c>
      <c r="F34" s="4">
        <v>36</v>
      </c>
      <c r="G34" s="4">
        <v>39</v>
      </c>
      <c r="H34" s="87" t="s">
        <v>388</v>
      </c>
      <c r="J34" s="87" t="s">
        <v>388</v>
      </c>
      <c r="L34" s="4">
        <v>39</v>
      </c>
      <c r="M34" s="4">
        <v>39</v>
      </c>
      <c r="N34" s="87" t="s">
        <v>388</v>
      </c>
      <c r="P34" s="87" t="s">
        <v>388</v>
      </c>
      <c r="R34" s="87" t="s">
        <v>388</v>
      </c>
      <c r="T34" s="87" t="s">
        <v>388</v>
      </c>
      <c r="V34" s="4">
        <v>53</v>
      </c>
      <c r="W34" s="4">
        <v>54</v>
      </c>
      <c r="X34" s="87" t="s">
        <v>388</v>
      </c>
      <c r="Z34" s="87" t="s">
        <v>388</v>
      </c>
      <c r="AB34" s="87" t="s">
        <v>388</v>
      </c>
      <c r="AD34" s="87" t="s">
        <v>388</v>
      </c>
      <c r="AF34" s="87" t="s">
        <v>388</v>
      </c>
      <c r="AH34" s="6">
        <v>38</v>
      </c>
      <c r="AI34" s="4">
        <v>43</v>
      </c>
      <c r="AJ34" s="87" t="s">
        <v>388</v>
      </c>
      <c r="AL34" s="87" t="s">
        <v>388</v>
      </c>
      <c r="AN34" s="4">
        <v>35</v>
      </c>
      <c r="AO34" s="4">
        <v>39</v>
      </c>
      <c r="AR34" s="87" t="s">
        <v>388</v>
      </c>
      <c r="AT34" s="87" t="s">
        <v>388</v>
      </c>
      <c r="AV34" s="87" t="s">
        <v>388</v>
      </c>
      <c r="AX34" s="87" t="s">
        <v>388</v>
      </c>
      <c r="AZ34" s="87" t="s">
        <v>388</v>
      </c>
      <c r="BD34" s="3">
        <v>31</v>
      </c>
    </row>
    <row r="35" spans="2:56" ht="15.75">
      <c r="B35" s="3">
        <v>32</v>
      </c>
      <c r="D35" s="4">
        <v>46</v>
      </c>
      <c r="E35" s="4">
        <v>46</v>
      </c>
      <c r="F35" s="4">
        <v>40</v>
      </c>
      <c r="G35" s="4">
        <v>41</v>
      </c>
      <c r="H35" s="4">
        <v>35</v>
      </c>
      <c r="I35" s="4">
        <v>38</v>
      </c>
      <c r="J35" s="4">
        <v>42</v>
      </c>
      <c r="K35" s="4">
        <v>42</v>
      </c>
      <c r="L35" s="87" t="s">
        <v>388</v>
      </c>
      <c r="N35" s="87" t="s">
        <v>388</v>
      </c>
      <c r="P35" s="87" t="s">
        <v>388</v>
      </c>
      <c r="R35" s="87" t="s">
        <v>388</v>
      </c>
      <c r="T35" s="87" t="s">
        <v>388</v>
      </c>
      <c r="V35" s="87" t="s">
        <v>388</v>
      </c>
      <c r="X35" s="87" t="s">
        <v>388</v>
      </c>
      <c r="Z35" s="87" t="s">
        <v>388</v>
      </c>
      <c r="AB35" s="87" t="s">
        <v>388</v>
      </c>
      <c r="AD35" s="87" t="s">
        <v>388</v>
      </c>
      <c r="AF35" s="87" t="s">
        <v>388</v>
      </c>
      <c r="AH35" s="6">
        <v>44</v>
      </c>
      <c r="AI35" s="4">
        <v>44</v>
      </c>
      <c r="AJ35" s="87" t="s">
        <v>388</v>
      </c>
      <c r="AL35" s="4">
        <v>49</v>
      </c>
      <c r="AM35" s="4">
        <v>49</v>
      </c>
      <c r="AN35" s="87" t="s">
        <v>388</v>
      </c>
      <c r="AR35" s="87" t="s">
        <v>388</v>
      </c>
      <c r="AT35" s="87" t="s">
        <v>388</v>
      </c>
      <c r="AV35" s="87" t="s">
        <v>388</v>
      </c>
      <c r="AX35" s="4">
        <v>26</v>
      </c>
      <c r="AY35" s="4">
        <v>32</v>
      </c>
      <c r="AZ35" s="87" t="s">
        <v>388</v>
      </c>
      <c r="BD35" s="3">
        <v>32</v>
      </c>
    </row>
    <row r="36" spans="2:56" ht="15.75">
      <c r="B36" s="3">
        <v>33</v>
      </c>
      <c r="D36" s="87" t="s">
        <v>388</v>
      </c>
      <c r="F36" s="87" t="s">
        <v>388</v>
      </c>
      <c r="H36" s="4">
        <v>39</v>
      </c>
      <c r="I36" s="4">
        <v>39</v>
      </c>
      <c r="J36" s="4">
        <v>43</v>
      </c>
      <c r="K36" s="4">
        <v>47</v>
      </c>
      <c r="L36" s="87" t="s">
        <v>388</v>
      </c>
      <c r="N36" s="4">
        <v>36</v>
      </c>
      <c r="O36" s="4">
        <v>38</v>
      </c>
      <c r="P36" s="4">
        <v>36</v>
      </c>
      <c r="Q36" s="4">
        <v>36</v>
      </c>
      <c r="R36" s="87" t="s">
        <v>388</v>
      </c>
      <c r="T36" s="87" t="s">
        <v>388</v>
      </c>
      <c r="V36" s="4">
        <v>55</v>
      </c>
      <c r="W36" s="4">
        <v>55</v>
      </c>
      <c r="X36" s="4">
        <v>40</v>
      </c>
      <c r="Y36" s="4">
        <v>46</v>
      </c>
      <c r="Z36" s="4">
        <v>38</v>
      </c>
      <c r="AA36" s="4">
        <v>44</v>
      </c>
      <c r="AB36" s="87" t="s">
        <v>388</v>
      </c>
      <c r="AD36" s="87" t="s">
        <v>388</v>
      </c>
      <c r="AF36" s="87" t="s">
        <v>388</v>
      </c>
      <c r="AH36" s="88" t="s">
        <v>388</v>
      </c>
      <c r="AJ36" s="87" t="s">
        <v>388</v>
      </c>
      <c r="AL36" s="87" t="s">
        <v>388</v>
      </c>
      <c r="AN36" s="87" t="s">
        <v>388</v>
      </c>
      <c r="AR36" s="87" t="s">
        <v>388</v>
      </c>
      <c r="AT36" s="87" t="s">
        <v>388</v>
      </c>
      <c r="AV36" s="4">
        <v>40</v>
      </c>
      <c r="AW36" s="4">
        <v>45</v>
      </c>
      <c r="AX36" s="4">
        <v>33</v>
      </c>
      <c r="AY36" s="4">
        <v>33</v>
      </c>
      <c r="AZ36" s="87" t="s">
        <v>388</v>
      </c>
      <c r="BD36" s="3">
        <v>33</v>
      </c>
    </row>
    <row r="37" spans="2:56" ht="15.75">
      <c r="B37" s="3">
        <v>34</v>
      </c>
      <c r="D37" s="87" t="s">
        <v>388</v>
      </c>
      <c r="F37" s="87" t="s">
        <v>388</v>
      </c>
      <c r="H37" s="87" t="s">
        <v>388</v>
      </c>
      <c r="J37" s="87" t="s">
        <v>388</v>
      </c>
      <c r="L37" s="87" t="s">
        <v>388</v>
      </c>
      <c r="N37" s="4">
        <v>39</v>
      </c>
      <c r="O37" s="4">
        <v>41</v>
      </c>
      <c r="P37" s="4">
        <v>37</v>
      </c>
      <c r="Q37" s="4">
        <v>46</v>
      </c>
      <c r="R37" s="87" t="s">
        <v>388</v>
      </c>
      <c r="T37" s="87" t="s">
        <v>388</v>
      </c>
      <c r="V37" s="87" t="s">
        <v>388</v>
      </c>
      <c r="X37" s="87" t="s">
        <v>388</v>
      </c>
      <c r="Z37" s="87" t="s">
        <v>388</v>
      </c>
      <c r="AB37" s="4">
        <v>36</v>
      </c>
      <c r="AC37" s="4">
        <v>41</v>
      </c>
      <c r="AD37" s="87" t="s">
        <v>388</v>
      </c>
      <c r="AF37" s="87" t="s">
        <v>388</v>
      </c>
      <c r="AH37" s="88" t="s">
        <v>388</v>
      </c>
      <c r="AJ37" s="87" t="s">
        <v>388</v>
      </c>
      <c r="AL37" s="87" t="s">
        <v>388</v>
      </c>
      <c r="AN37" s="87" t="s">
        <v>388</v>
      </c>
      <c r="AP37" s="4">
        <v>0</v>
      </c>
      <c r="AQ37" s="4">
        <v>0</v>
      </c>
      <c r="AR37" s="87" t="s">
        <v>388</v>
      </c>
      <c r="AT37" s="87" t="s">
        <v>388</v>
      </c>
      <c r="AV37" s="4">
        <v>46</v>
      </c>
      <c r="AW37" s="4">
        <v>46</v>
      </c>
      <c r="AX37" s="87" t="s">
        <v>388</v>
      </c>
      <c r="AZ37" s="87" t="s">
        <v>388</v>
      </c>
      <c r="BD37" s="3">
        <v>34</v>
      </c>
    </row>
    <row r="38" spans="2:56" ht="15.75">
      <c r="B38" s="3">
        <v>35</v>
      </c>
      <c r="D38" s="87" t="s">
        <v>388</v>
      </c>
      <c r="F38" s="87" t="s">
        <v>388</v>
      </c>
      <c r="H38" s="87" t="s">
        <v>388</v>
      </c>
      <c r="J38" s="87" t="s">
        <v>388</v>
      </c>
      <c r="L38" s="87" t="s">
        <v>388</v>
      </c>
      <c r="N38" s="87" t="s">
        <v>388</v>
      </c>
      <c r="P38" s="4">
        <v>47</v>
      </c>
      <c r="Q38" s="4">
        <v>47</v>
      </c>
      <c r="R38" s="87" t="s">
        <v>388</v>
      </c>
      <c r="T38" s="87" t="s">
        <v>388</v>
      </c>
      <c r="V38" s="87" t="s">
        <v>388</v>
      </c>
      <c r="X38" s="87" t="s">
        <v>388</v>
      </c>
      <c r="Z38" s="87" t="s">
        <v>388</v>
      </c>
      <c r="AB38" s="87" t="s">
        <v>388</v>
      </c>
      <c r="AD38" s="4">
        <v>38</v>
      </c>
      <c r="AE38" s="4">
        <v>43</v>
      </c>
      <c r="AF38" s="87" t="s">
        <v>388</v>
      </c>
      <c r="AH38" s="88" t="s">
        <v>388</v>
      </c>
      <c r="AJ38" s="4">
        <v>30</v>
      </c>
      <c r="AK38" s="4">
        <v>38</v>
      </c>
      <c r="AL38" s="87" t="s">
        <v>388</v>
      </c>
      <c r="AN38" s="4">
        <v>40</v>
      </c>
      <c r="AO38" s="4">
        <v>44</v>
      </c>
      <c r="AP38" s="87" t="s">
        <v>388</v>
      </c>
      <c r="AR38" s="87" t="s">
        <v>388</v>
      </c>
      <c r="AT38" s="87" t="s">
        <v>388</v>
      </c>
      <c r="AV38" s="87" t="s">
        <v>388</v>
      </c>
      <c r="AX38" s="87" t="s">
        <v>388</v>
      </c>
      <c r="AZ38" s="87" t="s">
        <v>388</v>
      </c>
      <c r="BD38" s="3">
        <v>35</v>
      </c>
    </row>
    <row r="39" spans="2:56" ht="15.75">
      <c r="B39" s="3">
        <v>36</v>
      </c>
      <c r="D39" s="4">
        <v>47</v>
      </c>
      <c r="E39" s="4">
        <v>51</v>
      </c>
      <c r="F39" s="87" t="s">
        <v>388</v>
      </c>
      <c r="H39" s="87" t="s">
        <v>388</v>
      </c>
      <c r="J39" s="87" t="s">
        <v>388</v>
      </c>
      <c r="L39" s="4">
        <v>40</v>
      </c>
      <c r="M39" s="4">
        <v>45</v>
      </c>
      <c r="N39" s="4">
        <v>42</v>
      </c>
      <c r="O39" s="4">
        <v>43</v>
      </c>
      <c r="P39" s="87" t="s">
        <v>388</v>
      </c>
      <c r="Q39" s="87" t="s">
        <v>391</v>
      </c>
      <c r="R39" s="87" t="s">
        <v>388</v>
      </c>
      <c r="T39" s="87" t="s">
        <v>388</v>
      </c>
      <c r="V39" s="87" t="s">
        <v>388</v>
      </c>
      <c r="X39" s="87" t="s">
        <v>388</v>
      </c>
      <c r="Z39" s="87" t="s">
        <v>388</v>
      </c>
      <c r="AB39" s="87" t="s">
        <v>388</v>
      </c>
      <c r="AD39" s="4">
        <v>44</v>
      </c>
      <c r="AE39" s="4">
        <v>44</v>
      </c>
      <c r="AF39" s="4">
        <v>34</v>
      </c>
      <c r="AG39" s="4">
        <v>42</v>
      </c>
      <c r="AH39" s="88" t="s">
        <v>388</v>
      </c>
      <c r="AJ39" s="4">
        <v>39</v>
      </c>
      <c r="AK39" s="4">
        <v>39</v>
      </c>
      <c r="AL39" s="87" t="s">
        <v>388</v>
      </c>
      <c r="AN39" s="87" t="s">
        <v>388</v>
      </c>
      <c r="AP39" s="4">
        <v>1</v>
      </c>
      <c r="AQ39" s="4">
        <v>1</v>
      </c>
      <c r="AR39" s="87" t="s">
        <v>388</v>
      </c>
      <c r="AT39" s="4">
        <v>36</v>
      </c>
      <c r="AU39" s="4">
        <v>46</v>
      </c>
      <c r="AV39" s="87" t="s">
        <v>388</v>
      </c>
      <c r="AX39" s="87" t="s">
        <v>388</v>
      </c>
      <c r="AZ39" s="87" t="s">
        <v>388</v>
      </c>
      <c r="BD39" s="3">
        <v>36</v>
      </c>
    </row>
    <row r="40" spans="2:56" ht="15.75">
      <c r="B40" s="3">
        <v>37</v>
      </c>
      <c r="D40" s="4">
        <v>52</v>
      </c>
      <c r="E40" s="4">
        <v>52</v>
      </c>
      <c r="F40" s="4">
        <v>42</v>
      </c>
      <c r="G40" s="4">
        <v>46</v>
      </c>
      <c r="H40" s="4">
        <v>40</v>
      </c>
      <c r="I40" s="4">
        <v>44</v>
      </c>
      <c r="J40" s="87" t="s">
        <v>388</v>
      </c>
      <c r="L40" s="4">
        <v>46</v>
      </c>
      <c r="M40" s="4">
        <v>46</v>
      </c>
      <c r="N40" s="4">
        <v>44</v>
      </c>
      <c r="O40" s="4">
        <v>46</v>
      </c>
      <c r="P40" s="87" t="s">
        <v>388</v>
      </c>
      <c r="R40" s="87" t="s">
        <v>388</v>
      </c>
      <c r="T40" s="4">
        <v>40</v>
      </c>
      <c r="U40" s="4">
        <v>40</v>
      </c>
      <c r="V40" s="87" t="s">
        <v>388</v>
      </c>
      <c r="X40" s="87" t="s">
        <v>388</v>
      </c>
      <c r="Z40" s="87" t="s">
        <v>388</v>
      </c>
      <c r="AB40" s="87" t="s">
        <v>388</v>
      </c>
      <c r="AD40" s="87" t="s">
        <v>388</v>
      </c>
      <c r="AF40" s="87" t="s">
        <v>388</v>
      </c>
      <c r="AH40" s="6">
        <v>45</v>
      </c>
      <c r="AI40" s="4">
        <v>51</v>
      </c>
      <c r="AJ40" s="87" t="s">
        <v>388</v>
      </c>
      <c r="AL40" s="87" t="s">
        <v>388</v>
      </c>
      <c r="AN40" s="87" t="s">
        <v>388</v>
      </c>
      <c r="AP40" s="4">
        <v>2</v>
      </c>
      <c r="AQ40" s="4">
        <v>57</v>
      </c>
      <c r="AR40" s="87" t="s">
        <v>388</v>
      </c>
      <c r="AT40" s="4">
        <v>47</v>
      </c>
      <c r="AU40" s="4">
        <v>47</v>
      </c>
      <c r="AV40" s="87" t="s">
        <v>388</v>
      </c>
      <c r="AX40" s="87" t="s">
        <v>388</v>
      </c>
      <c r="AZ40" s="87" t="s">
        <v>388</v>
      </c>
      <c r="BD40" s="3">
        <v>37</v>
      </c>
    </row>
    <row r="41" spans="2:56" ht="15.75">
      <c r="B41" s="3">
        <v>38</v>
      </c>
      <c r="D41" s="87" t="s">
        <v>388</v>
      </c>
      <c r="F41" s="4">
        <v>47</v>
      </c>
      <c r="G41" s="4">
        <v>47</v>
      </c>
      <c r="H41" s="87" t="s">
        <v>388</v>
      </c>
      <c r="J41" s="4">
        <v>48</v>
      </c>
      <c r="K41" s="4">
        <v>49</v>
      </c>
      <c r="L41" s="87" t="s">
        <v>388</v>
      </c>
      <c r="N41" s="4">
        <v>47</v>
      </c>
      <c r="O41" s="4">
        <v>47</v>
      </c>
      <c r="P41" s="87" t="s">
        <v>388</v>
      </c>
      <c r="R41" s="87" t="s">
        <v>388</v>
      </c>
      <c r="T41" s="4">
        <v>41</v>
      </c>
      <c r="U41" s="4">
        <v>48</v>
      </c>
      <c r="V41" s="87" t="s">
        <v>388</v>
      </c>
      <c r="X41" s="4">
        <v>47</v>
      </c>
      <c r="Y41" s="4">
        <v>51</v>
      </c>
      <c r="Z41" s="87" t="s">
        <v>388</v>
      </c>
      <c r="AB41" s="87" t="s">
        <v>388</v>
      </c>
      <c r="AD41" s="87" t="s">
        <v>388</v>
      </c>
      <c r="AF41" s="87" t="s">
        <v>388</v>
      </c>
      <c r="AH41" s="6">
        <v>52</v>
      </c>
      <c r="AI41" s="4">
        <v>52</v>
      </c>
      <c r="AJ41" s="87" t="s">
        <v>388</v>
      </c>
      <c r="AL41" s="4">
        <v>50</v>
      </c>
      <c r="AM41" s="4">
        <v>50</v>
      </c>
      <c r="AN41" s="87" t="s">
        <v>388</v>
      </c>
      <c r="AP41" s="4">
        <v>58</v>
      </c>
      <c r="AQ41" s="4">
        <v>58</v>
      </c>
      <c r="AR41" s="87" t="s">
        <v>388</v>
      </c>
      <c r="AT41" s="87" t="s">
        <v>388</v>
      </c>
      <c r="AV41" s="87" t="s">
        <v>388</v>
      </c>
      <c r="AX41" s="4">
        <v>34</v>
      </c>
      <c r="AY41" s="4">
        <v>42</v>
      </c>
      <c r="AZ41" s="4">
        <v>30</v>
      </c>
      <c r="BA41" s="4">
        <v>31</v>
      </c>
      <c r="BD41" s="3">
        <v>38</v>
      </c>
    </row>
    <row r="42" spans="2:56" ht="15.75">
      <c r="B42" s="3">
        <v>39</v>
      </c>
      <c r="D42" s="87" t="s">
        <v>388</v>
      </c>
      <c r="F42" s="87" t="s">
        <v>388</v>
      </c>
      <c r="H42" s="87" t="s">
        <v>388</v>
      </c>
      <c r="J42" s="4">
        <v>50</v>
      </c>
      <c r="K42" s="4">
        <v>53</v>
      </c>
      <c r="L42" s="87" t="s">
        <v>388</v>
      </c>
      <c r="N42" s="87" t="s">
        <v>388</v>
      </c>
      <c r="P42" s="87" t="s">
        <v>388</v>
      </c>
      <c r="R42" s="4">
        <v>40</v>
      </c>
      <c r="S42" s="4">
        <v>42</v>
      </c>
      <c r="T42" s="4">
        <v>49</v>
      </c>
      <c r="U42" s="4">
        <v>49</v>
      </c>
      <c r="V42" s="87" t="s">
        <v>388</v>
      </c>
      <c r="X42" s="4">
        <v>52</v>
      </c>
      <c r="Y42" s="4">
        <v>52</v>
      </c>
      <c r="Z42" s="4">
        <v>45</v>
      </c>
      <c r="AA42" s="4">
        <v>51</v>
      </c>
      <c r="AB42" s="4">
        <v>42</v>
      </c>
      <c r="AC42" s="4">
        <v>47</v>
      </c>
      <c r="AD42" s="87" t="s">
        <v>388</v>
      </c>
      <c r="AF42" s="87" t="s">
        <v>388</v>
      </c>
      <c r="AH42" s="88" t="s">
        <v>388</v>
      </c>
      <c r="AJ42" s="87" t="s">
        <v>388</v>
      </c>
      <c r="AL42" s="4">
        <v>51</v>
      </c>
      <c r="AM42" s="4">
        <v>58</v>
      </c>
      <c r="AN42" s="87" t="s">
        <v>388</v>
      </c>
      <c r="AP42" s="87" t="s">
        <v>388</v>
      </c>
      <c r="AR42" s="87" t="s">
        <v>388</v>
      </c>
      <c r="AT42" s="87" t="s">
        <v>388</v>
      </c>
      <c r="AV42" s="4">
        <v>47</v>
      </c>
      <c r="AW42" s="4">
        <v>51</v>
      </c>
      <c r="AX42" s="87" t="s">
        <v>388</v>
      </c>
      <c r="AZ42" s="4">
        <v>32</v>
      </c>
      <c r="BA42" s="4">
        <v>58</v>
      </c>
      <c r="BD42" s="3">
        <v>39</v>
      </c>
    </row>
    <row r="43" spans="2:56" ht="15.75">
      <c r="B43" s="3">
        <v>40</v>
      </c>
      <c r="D43" s="87" t="s">
        <v>388</v>
      </c>
      <c r="F43" s="87" t="s">
        <v>388</v>
      </c>
      <c r="H43" s="4">
        <v>45</v>
      </c>
      <c r="I43" s="4">
        <v>49</v>
      </c>
      <c r="J43" s="87" t="s">
        <v>388</v>
      </c>
      <c r="L43" s="4">
        <v>47</v>
      </c>
      <c r="M43" s="4">
        <v>47</v>
      </c>
      <c r="N43" s="87" t="s">
        <v>388</v>
      </c>
      <c r="P43" s="87" t="s">
        <v>388</v>
      </c>
      <c r="R43" s="4">
        <v>43</v>
      </c>
      <c r="S43" s="4">
        <v>58</v>
      </c>
      <c r="T43" s="87" t="s">
        <v>388</v>
      </c>
      <c r="V43" s="4">
        <v>56</v>
      </c>
      <c r="W43" s="4">
        <v>57</v>
      </c>
      <c r="X43" s="87" t="s">
        <v>388</v>
      </c>
      <c r="Z43" s="4">
        <v>52</v>
      </c>
      <c r="AA43" s="4">
        <v>52</v>
      </c>
      <c r="AB43" s="87" t="s">
        <v>388</v>
      </c>
      <c r="AD43" s="4">
        <v>45</v>
      </c>
      <c r="AE43" s="4">
        <v>52</v>
      </c>
      <c r="AF43" s="87" t="s">
        <v>388</v>
      </c>
      <c r="AH43" s="88" t="s">
        <v>388</v>
      </c>
      <c r="AJ43" s="87" t="s">
        <v>388</v>
      </c>
      <c r="AL43" s="87" t="s">
        <v>388</v>
      </c>
      <c r="AN43" s="4">
        <v>45</v>
      </c>
      <c r="AO43" s="4">
        <v>48</v>
      </c>
      <c r="AP43" s="87" t="s">
        <v>388</v>
      </c>
      <c r="AR43" s="87" t="s">
        <v>388</v>
      </c>
      <c r="AT43" s="87" t="s">
        <v>388</v>
      </c>
      <c r="AV43" s="4">
        <v>52</v>
      </c>
      <c r="AW43" s="4">
        <v>52</v>
      </c>
      <c r="AX43" s="87" t="s">
        <v>388</v>
      </c>
      <c r="AZ43" s="4">
        <v>59</v>
      </c>
      <c r="BA43" s="4">
        <v>59</v>
      </c>
      <c r="BD43" s="3">
        <v>40</v>
      </c>
    </row>
    <row r="44" spans="2:56" ht="15.75">
      <c r="B44" s="3">
        <v>41</v>
      </c>
      <c r="D44" s="87" t="s">
        <v>388</v>
      </c>
      <c r="F44" s="4">
        <v>48</v>
      </c>
      <c r="G44" s="4">
        <v>48</v>
      </c>
      <c r="H44" s="87" t="s">
        <v>388</v>
      </c>
      <c r="J44" s="87" t="s">
        <v>388</v>
      </c>
      <c r="L44" s="4">
        <v>48</v>
      </c>
      <c r="M44" s="4">
        <v>51</v>
      </c>
      <c r="N44" s="4">
        <v>48</v>
      </c>
      <c r="O44" s="4">
        <v>51</v>
      </c>
      <c r="P44" s="87" t="s">
        <v>388</v>
      </c>
      <c r="R44" s="87" t="s">
        <v>388</v>
      </c>
      <c r="T44" s="87" t="s">
        <v>388</v>
      </c>
      <c r="V44" s="4">
        <v>58</v>
      </c>
      <c r="W44" s="4">
        <v>58</v>
      </c>
      <c r="X44" s="87" t="s">
        <v>388</v>
      </c>
      <c r="Z44" s="87" t="s">
        <v>388</v>
      </c>
      <c r="AB44" s="87" t="s">
        <v>388</v>
      </c>
      <c r="AD44" s="87" t="s">
        <v>388</v>
      </c>
      <c r="AF44" s="87" t="s">
        <v>388</v>
      </c>
      <c r="AH44" s="88" t="s">
        <v>388</v>
      </c>
      <c r="AJ44" s="87" t="s">
        <v>388</v>
      </c>
      <c r="AL44" s="4">
        <v>59</v>
      </c>
      <c r="AM44" s="4">
        <v>59</v>
      </c>
      <c r="AN44" s="4">
        <v>49</v>
      </c>
      <c r="AO44" s="4">
        <v>49</v>
      </c>
      <c r="AP44" s="87" t="s">
        <v>388</v>
      </c>
      <c r="AR44" s="87" t="s">
        <v>388</v>
      </c>
      <c r="AT44" s="87" t="s">
        <v>388</v>
      </c>
      <c r="AV44" s="87" t="s">
        <v>388</v>
      </c>
      <c r="AX44" s="87" t="s">
        <v>388</v>
      </c>
      <c r="AZ44" s="87" t="s">
        <v>388</v>
      </c>
      <c r="BD44" s="3">
        <v>41</v>
      </c>
    </row>
    <row r="45" spans="2:56" ht="15.75">
      <c r="B45" s="3">
        <v>42</v>
      </c>
      <c r="D45" s="4">
        <v>53</v>
      </c>
      <c r="E45" s="4">
        <v>58</v>
      </c>
      <c r="F45" s="4">
        <v>49</v>
      </c>
      <c r="G45" s="4">
        <v>52</v>
      </c>
      <c r="H45" s="87" t="s">
        <v>388</v>
      </c>
      <c r="J45" s="87" t="s">
        <v>388</v>
      </c>
      <c r="L45" s="4">
        <v>52</v>
      </c>
      <c r="M45" s="4">
        <v>52</v>
      </c>
      <c r="N45" s="4">
        <v>52</v>
      </c>
      <c r="O45" s="4">
        <v>52</v>
      </c>
      <c r="P45" s="87" t="s">
        <v>388</v>
      </c>
      <c r="R45" s="4">
        <v>59</v>
      </c>
      <c r="S45" s="4">
        <v>59</v>
      </c>
      <c r="T45" s="87" t="s">
        <v>388</v>
      </c>
      <c r="V45" s="87" t="s">
        <v>388</v>
      </c>
      <c r="X45" s="87" t="s">
        <v>388</v>
      </c>
      <c r="Z45" s="87" t="s">
        <v>388</v>
      </c>
      <c r="AB45" s="87" t="s">
        <v>388</v>
      </c>
      <c r="AD45" s="87" t="s">
        <v>388</v>
      </c>
      <c r="AF45" s="4">
        <v>43</v>
      </c>
      <c r="AG45" s="4">
        <v>50</v>
      </c>
      <c r="AH45" s="88" t="s">
        <v>388</v>
      </c>
      <c r="AJ45" s="4">
        <v>40</v>
      </c>
      <c r="AK45" s="4">
        <v>49</v>
      </c>
      <c r="AL45" s="87" t="s">
        <v>388</v>
      </c>
      <c r="AN45" s="87" t="s">
        <v>388</v>
      </c>
      <c r="AP45" s="87" t="s">
        <v>388</v>
      </c>
      <c r="AR45" s="87" t="s">
        <v>388</v>
      </c>
      <c r="AT45" s="4">
        <v>48</v>
      </c>
      <c r="AU45" s="4">
        <v>48</v>
      </c>
      <c r="AV45" s="87" t="s">
        <v>388</v>
      </c>
      <c r="AX45" s="4">
        <v>43</v>
      </c>
      <c r="AY45" s="4">
        <v>49</v>
      </c>
      <c r="AZ45" s="87" t="s">
        <v>388</v>
      </c>
      <c r="BD45" s="3">
        <v>42</v>
      </c>
    </row>
    <row r="46" spans="2:56" ht="15.75">
      <c r="B46" s="3">
        <v>43</v>
      </c>
      <c r="D46" s="4">
        <v>59</v>
      </c>
      <c r="E46" s="4">
        <v>59</v>
      </c>
      <c r="F46" s="4">
        <v>53</v>
      </c>
      <c r="G46" s="4">
        <v>53</v>
      </c>
      <c r="H46" s="87" t="s">
        <v>388</v>
      </c>
      <c r="J46" s="87" t="s">
        <v>388</v>
      </c>
      <c r="L46" s="87" t="s">
        <v>388</v>
      </c>
      <c r="N46" s="4">
        <v>53</v>
      </c>
      <c r="O46" s="4">
        <v>53</v>
      </c>
      <c r="P46" s="4">
        <v>48</v>
      </c>
      <c r="Q46" s="4">
        <v>58</v>
      </c>
      <c r="R46" s="87" t="s">
        <v>388</v>
      </c>
      <c r="T46" s="87" t="s">
        <v>388</v>
      </c>
      <c r="V46" s="4">
        <v>59</v>
      </c>
      <c r="W46" s="4">
        <v>59</v>
      </c>
      <c r="X46" s="4">
        <v>53</v>
      </c>
      <c r="Y46" s="4">
        <v>59</v>
      </c>
      <c r="Z46" s="87" t="s">
        <v>388</v>
      </c>
      <c r="AB46" s="4">
        <v>48</v>
      </c>
      <c r="AC46" s="4">
        <v>53</v>
      </c>
      <c r="AD46" s="87" t="s">
        <v>388</v>
      </c>
      <c r="AF46" s="87" t="s">
        <v>388</v>
      </c>
      <c r="AH46" s="88" t="s">
        <v>388</v>
      </c>
      <c r="AJ46" s="87" t="s">
        <v>388</v>
      </c>
      <c r="AL46" s="87" t="s">
        <v>388</v>
      </c>
      <c r="AN46" s="87" t="s">
        <v>388</v>
      </c>
      <c r="AP46" s="87" t="s">
        <v>388</v>
      </c>
      <c r="AR46" s="87" t="s">
        <v>388</v>
      </c>
      <c r="AT46" s="4">
        <v>49</v>
      </c>
      <c r="AU46" s="4">
        <v>58</v>
      </c>
      <c r="AV46" s="87" t="s">
        <v>388</v>
      </c>
      <c r="AX46" s="4">
        <v>50</v>
      </c>
      <c r="AY46" s="4">
        <v>50</v>
      </c>
      <c r="AZ46" s="87" t="s">
        <v>388</v>
      </c>
      <c r="BD46" s="3">
        <v>43</v>
      </c>
    </row>
    <row r="47" spans="2:56" ht="15.75">
      <c r="B47" s="3">
        <v>44</v>
      </c>
      <c r="D47" s="87" t="s">
        <v>388</v>
      </c>
      <c r="F47" s="87" t="s">
        <v>388</v>
      </c>
      <c r="H47" s="4">
        <v>50</v>
      </c>
      <c r="I47" s="4">
        <v>54</v>
      </c>
      <c r="J47" s="4">
        <v>54</v>
      </c>
      <c r="K47" s="4">
        <v>54</v>
      </c>
      <c r="L47" s="87" t="s">
        <v>388</v>
      </c>
      <c r="N47" s="87" t="s">
        <v>388</v>
      </c>
      <c r="P47" s="4">
        <v>59</v>
      </c>
      <c r="Q47" s="4">
        <v>59</v>
      </c>
      <c r="R47" s="87" t="s">
        <v>388</v>
      </c>
      <c r="T47" s="4">
        <v>50</v>
      </c>
      <c r="U47" s="4">
        <v>58</v>
      </c>
      <c r="V47" s="87" t="s">
        <v>388</v>
      </c>
      <c r="X47" s="87" t="s">
        <v>388</v>
      </c>
      <c r="Z47" s="87" t="s">
        <v>388</v>
      </c>
      <c r="AB47" s="87" t="s">
        <v>388</v>
      </c>
      <c r="AD47" s="87" t="s">
        <v>388</v>
      </c>
      <c r="AF47" s="87" t="s">
        <v>388</v>
      </c>
      <c r="AH47" s="88" t="s">
        <v>388</v>
      </c>
      <c r="AJ47" s="87" t="s">
        <v>388</v>
      </c>
      <c r="AL47" s="87" t="s">
        <v>388</v>
      </c>
      <c r="AN47" s="87" t="s">
        <v>388</v>
      </c>
      <c r="AP47" s="87" t="s">
        <v>388</v>
      </c>
      <c r="AR47" s="87" t="s">
        <v>388</v>
      </c>
      <c r="AT47" s="4">
        <v>59</v>
      </c>
      <c r="AU47" s="4">
        <v>59</v>
      </c>
      <c r="AV47" s="87" t="s">
        <v>388</v>
      </c>
      <c r="AX47" s="87" t="s">
        <v>388</v>
      </c>
      <c r="AZ47" s="87" t="s">
        <v>388</v>
      </c>
      <c r="BD47" s="3">
        <v>44</v>
      </c>
    </row>
    <row r="48" spans="2:56" ht="15.75">
      <c r="B48" s="3">
        <v>45</v>
      </c>
      <c r="D48" s="87" t="s">
        <v>388</v>
      </c>
      <c r="F48" s="87" t="s">
        <v>388</v>
      </c>
      <c r="H48" s="87" t="s">
        <v>388</v>
      </c>
      <c r="J48" s="4">
        <v>55</v>
      </c>
      <c r="K48" s="4">
        <v>58</v>
      </c>
      <c r="L48" s="4">
        <v>53</v>
      </c>
      <c r="M48" s="4">
        <v>54</v>
      </c>
      <c r="N48" s="87" t="s">
        <v>388</v>
      </c>
      <c r="P48" s="87" t="s">
        <v>388</v>
      </c>
      <c r="R48" s="87" t="s">
        <v>388</v>
      </c>
      <c r="T48" s="87" t="s">
        <v>388</v>
      </c>
      <c r="V48" s="87" t="s">
        <v>388</v>
      </c>
      <c r="X48" s="87" t="s">
        <v>388</v>
      </c>
      <c r="Z48" s="4">
        <v>53</v>
      </c>
      <c r="AA48" s="4">
        <v>58</v>
      </c>
      <c r="AB48" s="87" t="s">
        <v>388</v>
      </c>
      <c r="AD48" s="4">
        <v>53</v>
      </c>
      <c r="AE48" s="4">
        <v>59</v>
      </c>
      <c r="AF48" s="87" t="s">
        <v>388</v>
      </c>
      <c r="AH48" s="6">
        <v>53</v>
      </c>
      <c r="AI48" s="4">
        <v>58</v>
      </c>
      <c r="AJ48" s="87" t="s">
        <v>388</v>
      </c>
      <c r="AL48" s="87" t="s">
        <v>388</v>
      </c>
      <c r="AN48" s="4">
        <v>50</v>
      </c>
      <c r="AO48" s="4">
        <v>54</v>
      </c>
      <c r="AP48" s="4">
        <v>59</v>
      </c>
      <c r="AQ48" s="4">
        <v>59</v>
      </c>
      <c r="AR48" s="87" t="s">
        <v>388</v>
      </c>
      <c r="AT48" s="87" t="s">
        <v>388</v>
      </c>
      <c r="AV48" s="4">
        <v>53</v>
      </c>
      <c r="AW48" s="4">
        <v>59</v>
      </c>
      <c r="AX48" s="4">
        <v>51</v>
      </c>
      <c r="AZ48" s="87" t="s">
        <v>388</v>
      </c>
      <c r="BD48" s="3">
        <v>45</v>
      </c>
    </row>
    <row r="49" spans="2:56" ht="15.75">
      <c r="B49" s="3">
        <v>46</v>
      </c>
      <c r="D49" s="87" t="s">
        <v>388</v>
      </c>
      <c r="F49" s="4">
        <v>54</v>
      </c>
      <c r="G49" s="4">
        <v>58</v>
      </c>
      <c r="H49" s="87" t="s">
        <v>388</v>
      </c>
      <c r="J49" s="4">
        <v>59</v>
      </c>
      <c r="K49" s="4">
        <v>59</v>
      </c>
      <c r="L49" s="4">
        <v>55</v>
      </c>
      <c r="M49" s="4">
        <v>58</v>
      </c>
      <c r="N49" s="4">
        <v>54</v>
      </c>
      <c r="O49" s="4">
        <v>57</v>
      </c>
      <c r="P49" s="87" t="s">
        <v>388</v>
      </c>
      <c r="R49" s="87" t="s">
        <v>388</v>
      </c>
      <c r="T49" s="4">
        <v>59</v>
      </c>
      <c r="U49" s="4">
        <v>59</v>
      </c>
      <c r="V49" s="87" t="s">
        <v>388</v>
      </c>
      <c r="X49" s="87" t="s">
        <v>388</v>
      </c>
      <c r="Z49" s="4">
        <v>59</v>
      </c>
      <c r="AA49" s="4">
        <v>59</v>
      </c>
      <c r="AB49" s="87" t="s">
        <v>388</v>
      </c>
      <c r="AD49" s="87" t="s">
        <v>388</v>
      </c>
      <c r="AF49" s="87" t="s">
        <v>388</v>
      </c>
      <c r="AH49" s="6">
        <v>59</v>
      </c>
      <c r="AI49" s="4">
        <v>59</v>
      </c>
      <c r="AJ49" s="4">
        <v>50</v>
      </c>
      <c r="AK49" s="4">
        <v>58</v>
      </c>
      <c r="AL49" s="87" t="s">
        <v>388</v>
      </c>
      <c r="AN49" s="87" t="s">
        <v>388</v>
      </c>
      <c r="AP49" s="87" t="s">
        <v>388</v>
      </c>
      <c r="AR49" s="87" t="s">
        <v>388</v>
      </c>
      <c r="AT49" s="87" t="s">
        <v>388</v>
      </c>
      <c r="AV49" s="87" t="s">
        <v>388</v>
      </c>
      <c r="AX49" s="4">
        <v>52</v>
      </c>
      <c r="AY49" s="4">
        <v>59</v>
      </c>
      <c r="AZ49" s="87" t="s">
        <v>388</v>
      </c>
      <c r="BD49" s="3">
        <v>46</v>
      </c>
    </row>
    <row r="50" spans="2:56" ht="15.75">
      <c r="B50" s="3">
        <v>47</v>
      </c>
      <c r="D50" s="87" t="s">
        <v>388</v>
      </c>
      <c r="F50" s="4">
        <v>59</v>
      </c>
      <c r="G50" s="4">
        <v>59</v>
      </c>
      <c r="H50" s="4">
        <v>55</v>
      </c>
      <c r="I50" s="4">
        <v>59</v>
      </c>
      <c r="J50" s="87" t="s">
        <v>388</v>
      </c>
      <c r="L50" s="4">
        <v>59</v>
      </c>
      <c r="M50" s="4">
        <v>59</v>
      </c>
      <c r="N50" s="4">
        <v>58</v>
      </c>
      <c r="O50" s="4">
        <v>58</v>
      </c>
      <c r="P50" s="87" t="s">
        <v>388</v>
      </c>
      <c r="R50" s="87" t="s">
        <v>388</v>
      </c>
      <c r="T50" s="87" t="s">
        <v>388</v>
      </c>
      <c r="V50" s="4">
        <v>60</v>
      </c>
      <c r="W50" s="4">
        <v>62</v>
      </c>
      <c r="X50" s="87" t="s">
        <v>388</v>
      </c>
      <c r="Z50" s="87" t="s">
        <v>388</v>
      </c>
      <c r="AB50" s="4">
        <v>54</v>
      </c>
      <c r="AC50" s="4">
        <v>58</v>
      </c>
      <c r="AD50" s="87" t="s">
        <v>388</v>
      </c>
      <c r="AF50" s="4">
        <v>51</v>
      </c>
      <c r="AG50" s="4">
        <v>58</v>
      </c>
      <c r="AH50" s="88" t="s">
        <v>388</v>
      </c>
      <c r="AJ50" s="4">
        <v>59</v>
      </c>
      <c r="AK50" s="4">
        <v>59</v>
      </c>
      <c r="AL50" s="87" t="s">
        <v>388</v>
      </c>
      <c r="AN50" s="87" t="s">
        <v>388</v>
      </c>
      <c r="AP50" s="87" t="s">
        <v>388</v>
      </c>
      <c r="AR50" s="87" t="s">
        <v>388</v>
      </c>
      <c r="AT50" s="87" t="s">
        <v>388</v>
      </c>
      <c r="AV50" s="87" t="s">
        <v>388</v>
      </c>
      <c r="AX50" s="87" t="s">
        <v>388</v>
      </c>
      <c r="AZ50" s="87" t="s">
        <v>388</v>
      </c>
      <c r="BD50" s="3">
        <v>47</v>
      </c>
    </row>
    <row r="51" spans="2:56" ht="15.75">
      <c r="B51" s="3">
        <v>48</v>
      </c>
      <c r="D51" s="4">
        <v>60</v>
      </c>
      <c r="E51" s="4">
        <v>61</v>
      </c>
      <c r="F51" s="87" t="s">
        <v>388</v>
      </c>
      <c r="H51" s="87" t="s">
        <v>388</v>
      </c>
      <c r="J51" s="87" t="s">
        <v>388</v>
      </c>
      <c r="L51" s="87" t="s">
        <v>388</v>
      </c>
      <c r="N51" s="4">
        <v>59</v>
      </c>
      <c r="O51" s="4">
        <v>59</v>
      </c>
      <c r="P51" s="87" t="s">
        <v>388</v>
      </c>
      <c r="R51" s="87" t="s">
        <v>388</v>
      </c>
      <c r="T51" s="87" t="s">
        <v>388</v>
      </c>
      <c r="V51" s="87" t="s">
        <v>388</v>
      </c>
      <c r="X51" s="4">
        <v>60</v>
      </c>
      <c r="Y51" s="4">
        <v>61</v>
      </c>
      <c r="Z51" s="87" t="s">
        <v>388</v>
      </c>
      <c r="AB51" s="4">
        <v>59</v>
      </c>
      <c r="AC51" s="4">
        <v>59</v>
      </c>
      <c r="AD51" s="87" t="s">
        <v>388</v>
      </c>
      <c r="AF51" s="4">
        <v>59</v>
      </c>
      <c r="AG51" s="4">
        <v>59</v>
      </c>
      <c r="AH51" s="88" t="s">
        <v>388</v>
      </c>
      <c r="AJ51" s="87" t="s">
        <v>388</v>
      </c>
      <c r="AL51" s="4">
        <v>60</v>
      </c>
      <c r="AM51" s="4">
        <v>61</v>
      </c>
      <c r="AN51" s="4">
        <v>55</v>
      </c>
      <c r="AO51" s="4">
        <v>59</v>
      </c>
      <c r="AP51" s="87" t="s">
        <v>388</v>
      </c>
      <c r="AR51" s="4">
        <v>60</v>
      </c>
      <c r="AS51" s="4">
        <v>60</v>
      </c>
      <c r="AT51" s="87" t="s">
        <v>388</v>
      </c>
      <c r="AV51" s="87" t="s">
        <v>388</v>
      </c>
      <c r="AX51" s="87" t="s">
        <v>388</v>
      </c>
      <c r="AZ51" s="87" t="s">
        <v>388</v>
      </c>
      <c r="BD51" s="3">
        <v>48</v>
      </c>
    </row>
    <row r="52" spans="2:56" ht="15.75">
      <c r="B52" s="3">
        <v>49</v>
      </c>
      <c r="D52" s="4">
        <v>62</v>
      </c>
      <c r="E52" s="4">
        <v>62</v>
      </c>
      <c r="F52" s="87" t="s">
        <v>388</v>
      </c>
      <c r="H52" s="87" t="s">
        <v>388</v>
      </c>
      <c r="J52" s="87" t="s">
        <v>388</v>
      </c>
      <c r="L52" s="87" t="s">
        <v>388</v>
      </c>
      <c r="N52" s="87" t="s">
        <v>388</v>
      </c>
      <c r="P52" s="4">
        <v>60</v>
      </c>
      <c r="Q52" s="4">
        <v>60</v>
      </c>
      <c r="R52" s="87" t="s">
        <v>388</v>
      </c>
      <c r="T52" s="87" t="s">
        <v>388</v>
      </c>
      <c r="V52" s="4">
        <v>63</v>
      </c>
      <c r="W52" s="4">
        <v>63</v>
      </c>
      <c r="X52" s="87" t="s">
        <v>388</v>
      </c>
      <c r="Z52" s="87" t="s">
        <v>388</v>
      </c>
      <c r="AB52" s="87" t="s">
        <v>388</v>
      </c>
      <c r="AD52" s="4">
        <v>60</v>
      </c>
      <c r="AE52" s="4">
        <v>61</v>
      </c>
      <c r="AF52" s="87" t="s">
        <v>388</v>
      </c>
      <c r="AH52" s="88" t="s">
        <v>388</v>
      </c>
      <c r="AJ52" s="87" t="s">
        <v>388</v>
      </c>
      <c r="AL52" s="4">
        <v>62</v>
      </c>
      <c r="AM52" s="4">
        <v>62</v>
      </c>
      <c r="AN52" s="87" t="s">
        <v>388</v>
      </c>
      <c r="AP52" s="87" t="s">
        <v>388</v>
      </c>
      <c r="AR52" s="87" t="s">
        <v>388</v>
      </c>
      <c r="AT52" s="87" t="s">
        <v>388</v>
      </c>
      <c r="AV52" s="4">
        <v>60</v>
      </c>
      <c r="AW52" s="4">
        <v>60</v>
      </c>
      <c r="AX52" s="4">
        <v>60</v>
      </c>
      <c r="AY52" s="4">
        <v>61</v>
      </c>
      <c r="AZ52" s="87" t="s">
        <v>388</v>
      </c>
      <c r="BD52" s="3">
        <v>49</v>
      </c>
    </row>
    <row r="53" spans="2:56" ht="15.75">
      <c r="B53" s="3">
        <v>50</v>
      </c>
      <c r="D53" s="87" t="s">
        <v>388</v>
      </c>
      <c r="F53" s="4">
        <v>60</v>
      </c>
      <c r="G53" s="4">
        <v>70</v>
      </c>
      <c r="H53" s="87" t="s">
        <v>388</v>
      </c>
      <c r="J53" s="87" t="s">
        <v>388</v>
      </c>
      <c r="L53" s="4">
        <v>60</v>
      </c>
      <c r="M53" s="4">
        <v>61</v>
      </c>
      <c r="N53" s="87" t="s">
        <v>388</v>
      </c>
      <c r="P53" s="87" t="s">
        <v>388</v>
      </c>
      <c r="R53" s="4">
        <v>60</v>
      </c>
      <c r="S53" s="4">
        <v>60</v>
      </c>
      <c r="T53" s="87" t="s">
        <v>388</v>
      </c>
      <c r="V53" s="87" t="s">
        <v>388</v>
      </c>
      <c r="X53" s="87" t="s">
        <v>388</v>
      </c>
      <c r="Z53" s="87" t="s">
        <v>388</v>
      </c>
      <c r="AB53" s="87" t="s">
        <v>388</v>
      </c>
      <c r="AD53" s="87" t="s">
        <v>388</v>
      </c>
      <c r="AF53" s="87" t="s">
        <v>388</v>
      </c>
      <c r="AH53" s="88" t="s">
        <v>388</v>
      </c>
      <c r="AJ53" s="4">
        <v>60</v>
      </c>
      <c r="AK53" s="4">
        <v>62</v>
      </c>
      <c r="AL53" s="87" t="s">
        <v>388</v>
      </c>
      <c r="AN53" s="4">
        <v>60</v>
      </c>
      <c r="AO53" s="4">
        <v>62</v>
      </c>
      <c r="AP53" s="87" t="s">
        <v>388</v>
      </c>
      <c r="AR53" s="87" t="s">
        <v>388</v>
      </c>
      <c r="AT53" s="4">
        <v>60</v>
      </c>
      <c r="AU53" s="4">
        <v>60</v>
      </c>
      <c r="AV53" s="4">
        <v>61</v>
      </c>
      <c r="AW53" s="4">
        <v>61</v>
      </c>
      <c r="AX53" s="87" t="s">
        <v>388</v>
      </c>
      <c r="AZ53" s="87" t="s">
        <v>388</v>
      </c>
      <c r="BD53" s="3">
        <v>50</v>
      </c>
    </row>
    <row r="54" spans="2:56" ht="15.75">
      <c r="B54" s="3">
        <v>51</v>
      </c>
      <c r="D54" s="87" t="s">
        <v>388</v>
      </c>
      <c r="F54" s="4">
        <v>71</v>
      </c>
      <c r="G54" s="4">
        <v>73</v>
      </c>
      <c r="H54" s="4">
        <v>60</v>
      </c>
      <c r="I54" s="4">
        <v>64</v>
      </c>
      <c r="J54" s="4">
        <v>60</v>
      </c>
      <c r="K54" s="4">
        <v>66</v>
      </c>
      <c r="L54" s="87" t="s">
        <v>388</v>
      </c>
      <c r="N54" s="4">
        <v>60</v>
      </c>
      <c r="O54" s="4">
        <v>60</v>
      </c>
      <c r="P54" s="4">
        <v>61</v>
      </c>
      <c r="Q54" s="4">
        <v>61</v>
      </c>
      <c r="R54" s="87" t="s">
        <v>388</v>
      </c>
      <c r="T54" s="87" t="s">
        <v>388</v>
      </c>
      <c r="V54" s="87" t="s">
        <v>388</v>
      </c>
      <c r="X54" s="87" t="s">
        <v>388</v>
      </c>
      <c r="Z54" s="4">
        <v>60</v>
      </c>
      <c r="AA54" s="4">
        <v>61</v>
      </c>
      <c r="AB54" s="4">
        <v>60</v>
      </c>
      <c r="AC54" s="4">
        <v>60</v>
      </c>
      <c r="AD54" s="87" t="s">
        <v>388</v>
      </c>
      <c r="AF54" s="87" t="s">
        <v>388</v>
      </c>
      <c r="AH54" s="6">
        <v>60</v>
      </c>
      <c r="AI54" s="4">
        <v>61</v>
      </c>
      <c r="AJ54" s="87" t="s">
        <v>388</v>
      </c>
      <c r="AL54" s="87" t="s">
        <v>388</v>
      </c>
      <c r="AN54" s="87" t="s">
        <v>388</v>
      </c>
      <c r="AP54" s="87" t="s">
        <v>388</v>
      </c>
      <c r="AR54" s="87" t="s">
        <v>388</v>
      </c>
      <c r="AT54" s="4">
        <v>61</v>
      </c>
      <c r="AU54" s="4">
        <v>61</v>
      </c>
      <c r="AV54" s="87" t="s">
        <v>388</v>
      </c>
      <c r="AX54" s="87" t="s">
        <v>388</v>
      </c>
      <c r="AZ54" s="4">
        <v>60</v>
      </c>
      <c r="BA54" s="4">
        <v>60</v>
      </c>
      <c r="BD54" s="3">
        <v>51</v>
      </c>
    </row>
    <row r="55" spans="2:56" ht="15.75">
      <c r="B55" s="3">
        <v>52</v>
      </c>
      <c r="D55" s="87" t="s">
        <v>388</v>
      </c>
      <c r="F55" s="4">
        <v>74</v>
      </c>
      <c r="G55" s="4">
        <v>74</v>
      </c>
      <c r="H55" s="87" t="s">
        <v>388</v>
      </c>
      <c r="J55" s="87" t="s">
        <v>388</v>
      </c>
      <c r="L55" s="4">
        <v>62</v>
      </c>
      <c r="M55" s="4">
        <v>62</v>
      </c>
      <c r="N55" s="87" t="s">
        <v>388</v>
      </c>
      <c r="P55" s="87" t="s">
        <v>388</v>
      </c>
      <c r="R55" s="4">
        <v>61</v>
      </c>
      <c r="S55" s="4">
        <v>61</v>
      </c>
      <c r="T55" s="4">
        <v>60</v>
      </c>
      <c r="U55" s="4">
        <v>60</v>
      </c>
      <c r="V55" s="87" t="s">
        <v>388</v>
      </c>
      <c r="X55" s="4">
        <v>62</v>
      </c>
      <c r="Y55" s="4">
        <v>62</v>
      </c>
      <c r="Z55" s="87" t="s">
        <v>388</v>
      </c>
      <c r="AB55" s="4">
        <v>61</v>
      </c>
      <c r="AC55" s="4">
        <v>61</v>
      </c>
      <c r="AD55" s="87" t="s">
        <v>388</v>
      </c>
      <c r="AF55" s="4">
        <v>60</v>
      </c>
      <c r="AG55" s="4">
        <v>61</v>
      </c>
      <c r="AH55" s="6">
        <v>62</v>
      </c>
      <c r="AI55" s="4">
        <v>64</v>
      </c>
      <c r="AJ55" s="4">
        <v>63</v>
      </c>
      <c r="AK55" s="4">
        <v>63</v>
      </c>
      <c r="AL55" s="87" t="s">
        <v>388</v>
      </c>
      <c r="AN55" s="87" t="s">
        <v>388</v>
      </c>
      <c r="AP55" s="87" t="s">
        <v>388</v>
      </c>
      <c r="AR55" s="4">
        <v>61</v>
      </c>
      <c r="AS55" s="4">
        <v>61</v>
      </c>
      <c r="AT55" s="87" t="s">
        <v>388</v>
      </c>
      <c r="AV55" s="87" t="s">
        <v>388</v>
      </c>
      <c r="AX55" s="4">
        <v>62</v>
      </c>
      <c r="AY55" s="4">
        <v>62</v>
      </c>
      <c r="AZ55" s="87" t="s">
        <v>388</v>
      </c>
      <c r="BD55" s="3">
        <v>52</v>
      </c>
    </row>
    <row r="56" spans="2:56" ht="15.75">
      <c r="B56" s="3">
        <v>53</v>
      </c>
      <c r="D56" s="87" t="s">
        <v>388</v>
      </c>
      <c r="F56" s="87" t="s">
        <v>388</v>
      </c>
      <c r="H56" s="87" t="s">
        <v>388</v>
      </c>
      <c r="J56" s="4">
        <v>67</v>
      </c>
      <c r="K56" s="4">
        <v>67</v>
      </c>
      <c r="L56" s="87" t="s">
        <v>388</v>
      </c>
      <c r="N56" s="87" t="s">
        <v>388</v>
      </c>
      <c r="P56" s="87" t="s">
        <v>388</v>
      </c>
      <c r="R56" s="87" t="s">
        <v>388</v>
      </c>
      <c r="T56" s="4">
        <v>61</v>
      </c>
      <c r="U56" s="4">
        <v>61</v>
      </c>
      <c r="V56" s="87" t="s">
        <v>388</v>
      </c>
      <c r="X56" s="4">
        <v>63</v>
      </c>
      <c r="Y56" s="4">
        <v>63</v>
      </c>
      <c r="Z56" s="87" t="s">
        <v>388</v>
      </c>
      <c r="AB56" s="87" t="s">
        <v>388</v>
      </c>
      <c r="AD56" s="4">
        <v>62</v>
      </c>
      <c r="AE56" s="4">
        <v>63</v>
      </c>
      <c r="AF56" s="4">
        <v>62</v>
      </c>
      <c r="AG56" s="4">
        <v>62</v>
      </c>
      <c r="AH56" s="88" t="s">
        <v>388</v>
      </c>
      <c r="AJ56" s="87" t="s">
        <v>388</v>
      </c>
      <c r="AL56" s="87" t="s">
        <v>388</v>
      </c>
      <c r="AN56" s="4">
        <v>63</v>
      </c>
      <c r="AO56" s="4">
        <v>65</v>
      </c>
      <c r="AP56" s="87" t="s">
        <v>388</v>
      </c>
      <c r="AR56" s="87" t="s">
        <v>388</v>
      </c>
      <c r="AT56" s="87" t="s">
        <v>388</v>
      </c>
      <c r="AV56" s="87" t="s">
        <v>388</v>
      </c>
      <c r="AX56" s="4">
        <v>63</v>
      </c>
      <c r="AY56" s="4">
        <v>63</v>
      </c>
      <c r="AZ56" s="4">
        <v>61</v>
      </c>
      <c r="BA56" s="4">
        <v>61</v>
      </c>
      <c r="BD56" s="3">
        <v>53</v>
      </c>
    </row>
    <row r="57" spans="2:56" ht="15.75">
      <c r="B57" s="3">
        <v>54</v>
      </c>
      <c r="D57" s="4">
        <v>63</v>
      </c>
      <c r="E57" s="4">
        <v>63</v>
      </c>
      <c r="F57" s="87" t="s">
        <v>388</v>
      </c>
      <c r="H57" s="4">
        <v>65</v>
      </c>
      <c r="I57" s="4">
        <v>68</v>
      </c>
      <c r="J57" s="87" t="s">
        <v>388</v>
      </c>
      <c r="L57" s="87" t="s">
        <v>388</v>
      </c>
      <c r="N57" s="87" t="s">
        <v>388</v>
      </c>
      <c r="P57" s="87" t="s">
        <v>388</v>
      </c>
      <c r="R57" s="87" t="s">
        <v>388</v>
      </c>
      <c r="T57" s="87" t="s">
        <v>388</v>
      </c>
      <c r="V57" s="87" t="s">
        <v>388</v>
      </c>
      <c r="X57" s="87" t="s">
        <v>388</v>
      </c>
      <c r="Z57" s="87" t="s">
        <v>388</v>
      </c>
      <c r="AB57" s="87" t="s">
        <v>388</v>
      </c>
      <c r="AD57" s="87" t="s">
        <v>388</v>
      </c>
      <c r="AF57" s="87" t="s">
        <v>388</v>
      </c>
      <c r="AH57" s="88" t="s">
        <v>388</v>
      </c>
      <c r="AJ57" s="87" t="s">
        <v>388</v>
      </c>
      <c r="AL57" s="87" t="s">
        <v>388</v>
      </c>
      <c r="AN57" s="87" t="s">
        <v>388</v>
      </c>
      <c r="AP57" s="87" t="s">
        <v>388</v>
      </c>
      <c r="AR57" s="87" t="s">
        <v>388</v>
      </c>
      <c r="AT57" s="87" t="s">
        <v>388</v>
      </c>
      <c r="AV57" s="87" t="s">
        <v>388</v>
      </c>
      <c r="AX57" s="87" t="s">
        <v>388</v>
      </c>
      <c r="AZ57" s="87" t="s">
        <v>388</v>
      </c>
      <c r="BD57" s="3">
        <v>54</v>
      </c>
    </row>
    <row r="58" spans="2:56" ht="15.75">
      <c r="B58" s="3">
        <v>55</v>
      </c>
      <c r="D58" s="87" t="s">
        <v>388</v>
      </c>
      <c r="F58" s="4">
        <v>75</v>
      </c>
      <c r="G58" s="4">
        <v>75</v>
      </c>
      <c r="H58" s="4">
        <v>69</v>
      </c>
      <c r="I58" s="4">
        <v>69</v>
      </c>
      <c r="J58" s="87" t="s">
        <v>388</v>
      </c>
      <c r="L58" s="87" t="s">
        <v>388</v>
      </c>
      <c r="N58" s="4">
        <v>61</v>
      </c>
      <c r="O58" s="4">
        <v>62</v>
      </c>
      <c r="P58" s="87" t="s">
        <v>388</v>
      </c>
      <c r="R58" s="87" t="s">
        <v>388</v>
      </c>
      <c r="T58" s="87" t="s">
        <v>388</v>
      </c>
      <c r="V58" s="87" t="s">
        <v>388</v>
      </c>
      <c r="X58" s="87" t="s">
        <v>388</v>
      </c>
      <c r="Z58" s="87" t="s">
        <v>388</v>
      </c>
      <c r="AB58" s="87" t="s">
        <v>388</v>
      </c>
      <c r="AD58" s="87" t="s">
        <v>388</v>
      </c>
      <c r="AF58" s="87" t="s">
        <v>388</v>
      </c>
      <c r="AH58" s="88" t="s">
        <v>388</v>
      </c>
      <c r="AJ58" s="87" t="s">
        <v>388</v>
      </c>
      <c r="AL58" s="4">
        <v>63</v>
      </c>
      <c r="AM58" s="4">
        <v>64</v>
      </c>
      <c r="AN58" s="4">
        <v>66</v>
      </c>
      <c r="AO58" s="4">
        <v>67</v>
      </c>
      <c r="AP58" s="87" t="s">
        <v>388</v>
      </c>
      <c r="AR58" s="87" t="s">
        <v>388</v>
      </c>
      <c r="AT58" s="4">
        <v>62</v>
      </c>
      <c r="AU58" s="4">
        <v>62</v>
      </c>
      <c r="AV58" s="87" t="s">
        <v>388</v>
      </c>
      <c r="AX58" s="4">
        <v>64</v>
      </c>
      <c r="AY58" s="4">
        <v>65</v>
      </c>
      <c r="AZ58" s="87" t="s">
        <v>388</v>
      </c>
      <c r="BD58" s="3">
        <v>55</v>
      </c>
    </row>
    <row r="59" spans="2:56" ht="15.75">
      <c r="B59" s="3">
        <v>56</v>
      </c>
      <c r="D59" s="4">
        <v>64</v>
      </c>
      <c r="E59" s="4">
        <v>64</v>
      </c>
      <c r="F59" s="4">
        <v>76</v>
      </c>
      <c r="G59" s="4">
        <v>76</v>
      </c>
      <c r="H59" s="87" t="s">
        <v>388</v>
      </c>
      <c r="J59" s="87" t="s">
        <v>388</v>
      </c>
      <c r="L59" s="4">
        <v>63</v>
      </c>
      <c r="M59" s="4">
        <v>63</v>
      </c>
      <c r="N59" s="87" t="s">
        <v>388</v>
      </c>
      <c r="P59" s="4">
        <v>62</v>
      </c>
      <c r="Q59" s="4">
        <v>62</v>
      </c>
      <c r="R59" s="87" t="s">
        <v>388</v>
      </c>
      <c r="T59" s="87" t="s">
        <v>388</v>
      </c>
      <c r="V59" s="87" t="s">
        <v>388</v>
      </c>
      <c r="X59" s="87" t="s">
        <v>388</v>
      </c>
      <c r="Z59" s="4">
        <v>62</v>
      </c>
      <c r="AA59" s="4">
        <v>62</v>
      </c>
      <c r="AB59" s="4">
        <v>62</v>
      </c>
      <c r="AC59" s="4">
        <v>62</v>
      </c>
      <c r="AD59" s="87" t="s">
        <v>388</v>
      </c>
      <c r="AF59" s="87" t="s">
        <v>388</v>
      </c>
      <c r="AH59" s="88" t="s">
        <v>388</v>
      </c>
      <c r="AJ59" s="4">
        <v>64</v>
      </c>
      <c r="AK59" s="4">
        <v>66</v>
      </c>
      <c r="AL59" s="87" t="s">
        <v>388</v>
      </c>
      <c r="AN59" s="4">
        <v>68</v>
      </c>
      <c r="AO59" s="4">
        <v>68</v>
      </c>
      <c r="AP59" s="87" t="s">
        <v>388</v>
      </c>
      <c r="AR59" s="87" t="s">
        <v>388</v>
      </c>
      <c r="AT59" s="4">
        <v>63</v>
      </c>
      <c r="AU59" s="4">
        <v>63</v>
      </c>
      <c r="AV59" s="4">
        <v>62</v>
      </c>
      <c r="AW59" s="4">
        <v>62</v>
      </c>
      <c r="AX59" s="87" t="s">
        <v>388</v>
      </c>
      <c r="AZ59" s="87" t="s">
        <v>388</v>
      </c>
      <c r="BD59" s="3">
        <v>56</v>
      </c>
    </row>
    <row r="60" spans="2:56" ht="15.75">
      <c r="B60" s="3">
        <v>57</v>
      </c>
      <c r="D60" s="87" t="s">
        <v>388</v>
      </c>
      <c r="F60" s="87" t="s">
        <v>388</v>
      </c>
      <c r="H60" s="4">
        <v>70</v>
      </c>
      <c r="I60" s="4">
        <v>74</v>
      </c>
      <c r="J60" s="4">
        <v>68</v>
      </c>
      <c r="K60" s="4">
        <v>72</v>
      </c>
      <c r="L60" s="87" t="s">
        <v>388</v>
      </c>
      <c r="N60" s="87" t="s">
        <v>388</v>
      </c>
      <c r="P60" s="4">
        <v>63</v>
      </c>
      <c r="Q60" s="4">
        <v>63</v>
      </c>
      <c r="R60" s="87" t="s">
        <v>388</v>
      </c>
      <c r="T60" s="87" t="s">
        <v>388</v>
      </c>
      <c r="V60" s="87" t="s">
        <v>388</v>
      </c>
      <c r="X60" s="4">
        <v>64</v>
      </c>
      <c r="Y60" s="4">
        <v>64</v>
      </c>
      <c r="Z60" s="87" t="s">
        <v>388</v>
      </c>
      <c r="AB60" s="87" t="s">
        <v>388</v>
      </c>
      <c r="AD60" s="4">
        <v>64</v>
      </c>
      <c r="AE60" s="4">
        <v>64</v>
      </c>
      <c r="AF60" s="4">
        <v>63</v>
      </c>
      <c r="AG60" s="4">
        <v>64</v>
      </c>
      <c r="AH60" s="6">
        <v>75</v>
      </c>
      <c r="AI60" s="4">
        <v>76</v>
      </c>
      <c r="AJ60" s="4">
        <v>67</v>
      </c>
      <c r="AK60" s="4">
        <v>67</v>
      </c>
      <c r="AL60" s="4">
        <v>65</v>
      </c>
      <c r="AM60" s="4">
        <v>65</v>
      </c>
      <c r="AN60" s="87" t="s">
        <v>388</v>
      </c>
      <c r="AP60" s="87" t="s">
        <v>388</v>
      </c>
      <c r="AR60" s="87" t="s">
        <v>388</v>
      </c>
      <c r="AT60" s="87" t="s">
        <v>388</v>
      </c>
      <c r="AV60" s="4">
        <v>63</v>
      </c>
      <c r="AW60" s="4">
        <v>63</v>
      </c>
      <c r="AX60" s="4">
        <v>66</v>
      </c>
      <c r="AY60" s="4">
        <v>68</v>
      </c>
      <c r="AZ60" s="87" t="s">
        <v>388</v>
      </c>
      <c r="BD60" s="3">
        <v>57</v>
      </c>
    </row>
    <row r="61" spans="2:56" ht="15.75">
      <c r="B61" s="3">
        <v>58</v>
      </c>
      <c r="D61" s="87" t="s">
        <v>388</v>
      </c>
      <c r="F61" s="87" t="s">
        <v>388</v>
      </c>
      <c r="H61" s="87" t="s">
        <v>388</v>
      </c>
      <c r="J61" s="4">
        <v>73</v>
      </c>
      <c r="K61" s="4">
        <v>73</v>
      </c>
      <c r="L61" s="4">
        <v>64</v>
      </c>
      <c r="M61" s="4">
        <v>64</v>
      </c>
      <c r="N61" s="87" t="s">
        <v>388</v>
      </c>
      <c r="P61" s="87" t="s">
        <v>388</v>
      </c>
      <c r="R61" s="87" t="s">
        <v>388</v>
      </c>
      <c r="T61" s="87" t="s">
        <v>388</v>
      </c>
      <c r="V61" s="87" t="s">
        <v>388</v>
      </c>
      <c r="X61" s="4">
        <v>65</v>
      </c>
      <c r="Y61" s="4">
        <v>65</v>
      </c>
      <c r="Z61" s="87" t="s">
        <v>388</v>
      </c>
      <c r="AB61" s="87" t="s">
        <v>388</v>
      </c>
      <c r="AD61" s="4">
        <v>65</v>
      </c>
      <c r="AE61" s="4">
        <v>65</v>
      </c>
      <c r="AF61" s="4">
        <v>65</v>
      </c>
      <c r="AG61" s="4">
        <v>65</v>
      </c>
      <c r="AH61" s="88" t="s">
        <v>388</v>
      </c>
      <c r="AJ61" s="87" t="s">
        <v>388</v>
      </c>
      <c r="AL61" s="87" t="s">
        <v>388</v>
      </c>
      <c r="AN61" s="87" t="s">
        <v>388</v>
      </c>
      <c r="AP61" s="87" t="s">
        <v>388</v>
      </c>
      <c r="AR61" s="87" t="s">
        <v>388</v>
      </c>
      <c r="AT61" s="87" t="s">
        <v>388</v>
      </c>
      <c r="AV61" s="87" t="s">
        <v>388</v>
      </c>
      <c r="AX61" s="87" t="s">
        <v>388</v>
      </c>
      <c r="AZ61" s="87" t="s">
        <v>388</v>
      </c>
      <c r="BD61" s="3">
        <v>58</v>
      </c>
    </row>
    <row r="62" spans="2:56" ht="15.75">
      <c r="B62" s="3">
        <v>59</v>
      </c>
      <c r="D62" s="87" t="s">
        <v>388</v>
      </c>
      <c r="F62" s="87" t="s">
        <v>388</v>
      </c>
      <c r="H62" s="87" t="s">
        <v>388</v>
      </c>
      <c r="J62" s="4">
        <v>74</v>
      </c>
      <c r="K62" s="4">
        <v>74</v>
      </c>
      <c r="L62" s="87" t="s">
        <v>388</v>
      </c>
      <c r="N62" s="87" t="s">
        <v>388</v>
      </c>
      <c r="P62" s="87" t="s">
        <v>388</v>
      </c>
      <c r="R62" s="87" t="s">
        <v>388</v>
      </c>
      <c r="T62" s="87" t="s">
        <v>388</v>
      </c>
      <c r="V62" s="4">
        <v>64</v>
      </c>
      <c r="W62" s="4">
        <v>65</v>
      </c>
      <c r="X62" s="87" t="s">
        <v>388</v>
      </c>
      <c r="Z62" s="87" t="s">
        <v>388</v>
      </c>
      <c r="AB62" s="4">
        <v>63</v>
      </c>
      <c r="AC62" s="4">
        <v>63</v>
      </c>
      <c r="AD62" s="87" t="s">
        <v>388</v>
      </c>
      <c r="AF62" s="87" t="s">
        <v>388</v>
      </c>
      <c r="AH62" s="6">
        <v>77</v>
      </c>
      <c r="AI62" s="4">
        <v>77</v>
      </c>
      <c r="AJ62" s="87" t="s">
        <v>388</v>
      </c>
      <c r="AL62" s="87" t="s">
        <v>388</v>
      </c>
      <c r="AN62" s="4">
        <v>69</v>
      </c>
      <c r="AO62" s="4">
        <v>70</v>
      </c>
      <c r="AP62" s="87" t="s">
        <v>388</v>
      </c>
      <c r="AR62" s="87" t="s">
        <v>388</v>
      </c>
      <c r="AT62" s="87" t="s">
        <v>388</v>
      </c>
      <c r="AV62" s="87" t="s">
        <v>388</v>
      </c>
      <c r="AX62" s="4">
        <v>69</v>
      </c>
      <c r="AY62" s="4">
        <v>69</v>
      </c>
      <c r="AZ62" s="87" t="s">
        <v>388</v>
      </c>
      <c r="BD62" s="3">
        <v>59</v>
      </c>
    </row>
    <row r="63" spans="2:56" ht="15.75">
      <c r="B63" s="3">
        <v>60</v>
      </c>
      <c r="D63" s="87" t="s">
        <v>388</v>
      </c>
      <c r="F63" s="87" t="s">
        <v>388</v>
      </c>
      <c r="H63" s="87" t="s">
        <v>388</v>
      </c>
      <c r="J63" s="87" t="s">
        <v>388</v>
      </c>
      <c r="L63" s="87" t="s">
        <v>388</v>
      </c>
      <c r="N63" s="4">
        <v>63</v>
      </c>
      <c r="O63" s="4">
        <v>63</v>
      </c>
      <c r="P63" s="87" t="s">
        <v>388</v>
      </c>
      <c r="R63" s="4">
        <v>62</v>
      </c>
      <c r="S63" s="4">
        <v>62</v>
      </c>
      <c r="T63" s="4">
        <v>62</v>
      </c>
      <c r="U63" s="4">
        <v>62</v>
      </c>
      <c r="V63" s="4">
        <v>66</v>
      </c>
      <c r="W63" s="4">
        <v>66</v>
      </c>
      <c r="X63" s="87" t="s">
        <v>388</v>
      </c>
      <c r="Z63" s="4">
        <v>63</v>
      </c>
      <c r="AA63" s="4">
        <v>63</v>
      </c>
      <c r="AB63" s="4">
        <v>64</v>
      </c>
      <c r="AC63" s="4">
        <v>64</v>
      </c>
      <c r="AD63" s="87" t="s">
        <v>388</v>
      </c>
      <c r="AF63" s="87" t="s">
        <v>388</v>
      </c>
      <c r="AH63" s="88" t="s">
        <v>388</v>
      </c>
      <c r="AJ63" s="87" t="s">
        <v>388</v>
      </c>
      <c r="AL63" s="87" t="s">
        <v>388</v>
      </c>
      <c r="AN63" s="4">
        <v>71</v>
      </c>
      <c r="AO63" s="4">
        <v>71</v>
      </c>
      <c r="AP63" s="87" t="s">
        <v>388</v>
      </c>
      <c r="AR63" s="87" t="s">
        <v>388</v>
      </c>
      <c r="AT63" s="4">
        <v>64</v>
      </c>
      <c r="AU63" s="4">
        <v>64</v>
      </c>
      <c r="AV63" s="87" t="s">
        <v>388</v>
      </c>
      <c r="AX63" s="4">
        <v>70</v>
      </c>
      <c r="AY63" s="4">
        <v>70</v>
      </c>
      <c r="AZ63" s="87" t="s">
        <v>388</v>
      </c>
      <c r="BD63" s="3">
        <v>60</v>
      </c>
    </row>
    <row r="64" spans="2:56" ht="15.75">
      <c r="B64" s="3">
        <v>61</v>
      </c>
      <c r="D64" s="4">
        <v>65</v>
      </c>
      <c r="E64" s="4">
        <v>66</v>
      </c>
      <c r="F64" s="4">
        <v>77</v>
      </c>
      <c r="G64" s="4">
        <v>77</v>
      </c>
      <c r="H64" s="4">
        <v>75</v>
      </c>
      <c r="I64" s="4">
        <v>75</v>
      </c>
      <c r="J64" s="87" t="s">
        <v>388</v>
      </c>
      <c r="L64" s="87" t="s">
        <v>388</v>
      </c>
      <c r="N64" s="87" t="s">
        <v>388</v>
      </c>
      <c r="P64" s="4">
        <v>64</v>
      </c>
      <c r="Q64" s="4">
        <v>64</v>
      </c>
      <c r="R64" s="87" t="s">
        <v>388</v>
      </c>
      <c r="T64" s="87" t="s">
        <v>388</v>
      </c>
      <c r="V64" s="87" t="s">
        <v>388</v>
      </c>
      <c r="X64" s="87" t="s">
        <v>388</v>
      </c>
      <c r="Z64" s="4">
        <v>64</v>
      </c>
      <c r="AA64" s="4">
        <v>64</v>
      </c>
      <c r="AB64" s="87" t="s">
        <v>388</v>
      </c>
      <c r="AD64" s="4">
        <v>66</v>
      </c>
      <c r="AE64" s="4">
        <v>66</v>
      </c>
      <c r="AF64" s="87" t="s">
        <v>388</v>
      </c>
      <c r="AH64" s="88" t="s">
        <v>388</v>
      </c>
      <c r="AJ64" s="87" t="s">
        <v>388</v>
      </c>
      <c r="AL64" s="87" t="s">
        <v>388</v>
      </c>
      <c r="AN64" s="87" t="s">
        <v>388</v>
      </c>
      <c r="AP64" s="87" t="s">
        <v>388</v>
      </c>
      <c r="AR64" s="4">
        <v>62</v>
      </c>
      <c r="AS64" s="4">
        <v>62</v>
      </c>
      <c r="AT64" s="4">
        <v>65</v>
      </c>
      <c r="AU64" s="4">
        <v>65</v>
      </c>
      <c r="AV64" s="4">
        <v>64</v>
      </c>
      <c r="AW64" s="4">
        <v>64</v>
      </c>
      <c r="AX64" s="87" t="s">
        <v>388</v>
      </c>
      <c r="AZ64" s="4">
        <v>62</v>
      </c>
      <c r="BA64" s="4">
        <v>62</v>
      </c>
      <c r="BD64" s="3">
        <v>61</v>
      </c>
    </row>
    <row r="65" spans="2:56" ht="15.75">
      <c r="B65" s="3">
        <v>62</v>
      </c>
      <c r="D65" s="4">
        <v>67</v>
      </c>
      <c r="E65" s="4">
        <v>67</v>
      </c>
      <c r="F65" s="87" t="s">
        <v>388</v>
      </c>
      <c r="H65" s="87" t="s">
        <v>388</v>
      </c>
      <c r="J65" s="87" t="s">
        <v>388</v>
      </c>
      <c r="L65" s="4">
        <v>65</v>
      </c>
      <c r="M65" s="4">
        <v>66</v>
      </c>
      <c r="N65" s="87" t="s">
        <v>388</v>
      </c>
      <c r="P65" s="87" t="s">
        <v>388</v>
      </c>
      <c r="R65" s="4">
        <v>63</v>
      </c>
      <c r="S65" s="4">
        <v>63</v>
      </c>
      <c r="T65" s="87" t="s">
        <v>388</v>
      </c>
      <c r="V65" s="4">
        <v>67</v>
      </c>
      <c r="W65" s="4">
        <v>67</v>
      </c>
      <c r="X65" s="87" t="s">
        <v>388</v>
      </c>
      <c r="Z65" s="87" t="s">
        <v>388</v>
      </c>
      <c r="AB65" s="87" t="s">
        <v>388</v>
      </c>
      <c r="AD65" s="4">
        <v>67</v>
      </c>
      <c r="AE65" s="4">
        <v>67</v>
      </c>
      <c r="AF65" s="4">
        <v>66</v>
      </c>
      <c r="AG65" s="4">
        <v>66</v>
      </c>
      <c r="AH65" s="88" t="s">
        <v>388</v>
      </c>
      <c r="AJ65" s="87" t="s">
        <v>388</v>
      </c>
      <c r="AL65" s="87" t="s">
        <v>388</v>
      </c>
      <c r="AN65" s="4">
        <v>72</v>
      </c>
      <c r="AO65" s="4">
        <v>74</v>
      </c>
      <c r="AP65" s="87" t="s">
        <v>388</v>
      </c>
      <c r="AR65" s="87" t="s">
        <v>388</v>
      </c>
      <c r="AT65" s="87" t="s">
        <v>388</v>
      </c>
      <c r="AV65" s="4">
        <v>65</v>
      </c>
      <c r="AW65" s="4">
        <v>65</v>
      </c>
      <c r="AX65" s="4">
        <v>71</v>
      </c>
      <c r="AY65" s="4">
        <v>71</v>
      </c>
      <c r="AZ65" s="87" t="s">
        <v>388</v>
      </c>
      <c r="BD65" s="3">
        <v>62</v>
      </c>
    </row>
    <row r="66" spans="2:56" ht="15.75">
      <c r="B66" s="3">
        <v>63</v>
      </c>
      <c r="D66" s="87" t="s">
        <v>388</v>
      </c>
      <c r="F66" s="87" t="s">
        <v>388</v>
      </c>
      <c r="H66" s="4">
        <v>76</v>
      </c>
      <c r="I66" s="4">
        <v>76</v>
      </c>
      <c r="J66" s="4">
        <v>75</v>
      </c>
      <c r="K66" s="4">
        <v>76</v>
      </c>
      <c r="L66" s="4">
        <v>67</v>
      </c>
      <c r="M66" s="4">
        <v>67</v>
      </c>
      <c r="N66" s="4">
        <v>64</v>
      </c>
      <c r="O66" s="4">
        <v>64</v>
      </c>
      <c r="P66" s="4">
        <v>65</v>
      </c>
      <c r="Q66" s="4">
        <v>65</v>
      </c>
      <c r="R66" s="87" t="s">
        <v>388</v>
      </c>
      <c r="T66" s="87" t="s">
        <v>388</v>
      </c>
      <c r="V66" s="87" t="s">
        <v>388</v>
      </c>
      <c r="X66" s="4">
        <v>66</v>
      </c>
      <c r="Y66" s="4">
        <v>67</v>
      </c>
      <c r="Z66" s="87" t="s">
        <v>388</v>
      </c>
      <c r="AB66" s="87" t="s">
        <v>388</v>
      </c>
      <c r="AD66" s="87" t="s">
        <v>388</v>
      </c>
      <c r="AF66" s="4">
        <v>67</v>
      </c>
      <c r="AG66" s="4">
        <v>67</v>
      </c>
      <c r="AH66" s="88" t="s">
        <v>388</v>
      </c>
      <c r="AJ66" s="4">
        <v>68</v>
      </c>
      <c r="AK66" s="4">
        <v>68</v>
      </c>
      <c r="AL66" s="87" t="s">
        <v>388</v>
      </c>
      <c r="AN66" s="87" t="s">
        <v>388</v>
      </c>
      <c r="AP66" s="87" t="s">
        <v>388</v>
      </c>
      <c r="AR66" s="87" t="s">
        <v>388</v>
      </c>
      <c r="AT66" s="87" t="s">
        <v>388</v>
      </c>
      <c r="AV66" s="87" t="s">
        <v>388</v>
      </c>
      <c r="AX66" s="4">
        <v>72</v>
      </c>
      <c r="AY66" s="4">
        <v>72</v>
      </c>
      <c r="AZ66" s="4">
        <v>63</v>
      </c>
      <c r="BA66" s="4">
        <v>63</v>
      </c>
      <c r="BD66" s="3">
        <v>63</v>
      </c>
    </row>
    <row r="67" spans="2:56" ht="15.75">
      <c r="B67" s="3">
        <v>64</v>
      </c>
      <c r="D67" s="87" t="s">
        <v>388</v>
      </c>
      <c r="F67" s="4">
        <v>78</v>
      </c>
      <c r="G67" s="4">
        <v>78</v>
      </c>
      <c r="H67" s="87" t="s">
        <v>388</v>
      </c>
      <c r="J67" s="4">
        <v>77</v>
      </c>
      <c r="K67" s="4">
        <v>77</v>
      </c>
      <c r="L67" s="87" t="s">
        <v>388</v>
      </c>
      <c r="N67" s="87" t="s">
        <v>388</v>
      </c>
      <c r="P67" s="87" t="s">
        <v>388</v>
      </c>
      <c r="R67" s="87" t="s">
        <v>388</v>
      </c>
      <c r="T67" s="4">
        <v>63</v>
      </c>
      <c r="U67" s="4">
        <v>63</v>
      </c>
      <c r="V67" s="87" t="s">
        <v>388</v>
      </c>
      <c r="X67" s="4">
        <v>68</v>
      </c>
      <c r="Y67" s="4">
        <v>68</v>
      </c>
      <c r="Z67" s="87" t="s">
        <v>388</v>
      </c>
      <c r="AB67" s="4">
        <v>65</v>
      </c>
      <c r="AC67" s="4">
        <v>65</v>
      </c>
      <c r="AD67" s="87" t="s">
        <v>388</v>
      </c>
      <c r="AF67" s="4">
        <v>68</v>
      </c>
      <c r="AG67" s="4">
        <v>68</v>
      </c>
      <c r="AH67" s="6">
        <v>78</v>
      </c>
      <c r="AI67" s="4">
        <v>78</v>
      </c>
      <c r="AJ67" s="4">
        <v>69</v>
      </c>
      <c r="AK67" s="4">
        <v>69</v>
      </c>
      <c r="AL67" s="87" t="s">
        <v>388</v>
      </c>
      <c r="AN67" s="87" t="s">
        <v>388</v>
      </c>
      <c r="AP67" s="87" t="s">
        <v>388</v>
      </c>
      <c r="AR67" s="4">
        <v>63</v>
      </c>
      <c r="AS67" s="4">
        <v>63</v>
      </c>
      <c r="AT67" s="87" t="s">
        <v>388</v>
      </c>
      <c r="AV67" s="87" t="s">
        <v>388</v>
      </c>
      <c r="AX67" s="87" t="s">
        <v>388</v>
      </c>
      <c r="AZ67" s="87" t="s">
        <v>388</v>
      </c>
      <c r="BD67" s="3">
        <v>64</v>
      </c>
    </row>
    <row r="68" spans="2:56" ht="15.75">
      <c r="B68" s="3">
        <v>65</v>
      </c>
      <c r="D68" s="4">
        <v>68</v>
      </c>
      <c r="E68" s="4">
        <v>68</v>
      </c>
      <c r="F68" s="4">
        <v>79</v>
      </c>
      <c r="G68" s="4">
        <v>79</v>
      </c>
      <c r="H68" s="4">
        <v>77</v>
      </c>
      <c r="I68" s="4">
        <v>77</v>
      </c>
      <c r="J68" s="87" t="s">
        <v>388</v>
      </c>
      <c r="L68" s="87" t="s">
        <v>388</v>
      </c>
      <c r="N68" s="87" t="s">
        <v>388</v>
      </c>
      <c r="P68" s="87" t="s">
        <v>388</v>
      </c>
      <c r="R68" s="87" t="s">
        <v>388</v>
      </c>
      <c r="T68" s="87" t="s">
        <v>388</v>
      </c>
      <c r="V68" s="87" t="s">
        <v>388</v>
      </c>
      <c r="X68" s="87" t="s">
        <v>388</v>
      </c>
      <c r="Z68" s="4">
        <v>65</v>
      </c>
      <c r="AA68" s="4">
        <v>65</v>
      </c>
      <c r="AB68" s="87" t="s">
        <v>388</v>
      </c>
      <c r="AD68" s="4">
        <v>68</v>
      </c>
      <c r="AE68" s="4">
        <v>68</v>
      </c>
      <c r="AF68" s="87" t="s">
        <v>388</v>
      </c>
      <c r="AH68" s="88" t="s">
        <v>388</v>
      </c>
      <c r="AJ68" s="4">
        <v>70</v>
      </c>
      <c r="AK68" s="4">
        <v>70</v>
      </c>
      <c r="AL68" s="4">
        <v>66</v>
      </c>
      <c r="AM68" s="4">
        <v>67</v>
      </c>
      <c r="AN68" s="4">
        <v>75</v>
      </c>
      <c r="AO68" s="4">
        <v>76</v>
      </c>
      <c r="AP68" s="4">
        <v>60</v>
      </c>
      <c r="AQ68" s="4">
        <v>64</v>
      </c>
      <c r="AR68" s="87" t="s">
        <v>388</v>
      </c>
      <c r="AT68" s="4">
        <v>66</v>
      </c>
      <c r="AU68" s="4">
        <v>66</v>
      </c>
      <c r="AV68" s="87" t="s">
        <v>388</v>
      </c>
      <c r="AX68" s="87" t="s">
        <v>388</v>
      </c>
      <c r="AZ68" s="87" t="s">
        <v>388</v>
      </c>
      <c r="BD68" s="3">
        <v>65</v>
      </c>
    </row>
    <row r="69" spans="2:56" ht="15.75">
      <c r="B69" s="3">
        <v>66</v>
      </c>
      <c r="D69" s="87" t="s">
        <v>388</v>
      </c>
      <c r="F69" s="87" t="s">
        <v>388</v>
      </c>
      <c r="H69" s="87" t="s">
        <v>388</v>
      </c>
      <c r="J69" s="87" t="s">
        <v>388</v>
      </c>
      <c r="L69" s="87" t="s">
        <v>388</v>
      </c>
      <c r="N69" s="4">
        <v>65</v>
      </c>
      <c r="O69" s="4">
        <v>65</v>
      </c>
      <c r="P69" s="87" t="s">
        <v>388</v>
      </c>
      <c r="R69" s="87" t="s">
        <v>388</v>
      </c>
      <c r="T69" s="4">
        <v>64</v>
      </c>
      <c r="U69" s="4">
        <v>64</v>
      </c>
      <c r="V69" s="87" t="s">
        <v>388</v>
      </c>
      <c r="X69" s="87" t="s">
        <v>388</v>
      </c>
      <c r="Z69" s="4">
        <v>66</v>
      </c>
      <c r="AA69" s="4">
        <v>66</v>
      </c>
      <c r="AB69" s="87" t="s">
        <v>388</v>
      </c>
      <c r="AD69" s="87" t="s">
        <v>388</v>
      </c>
      <c r="AF69" s="87" t="s">
        <v>388</v>
      </c>
      <c r="AH69" s="88" t="s">
        <v>388</v>
      </c>
      <c r="AJ69" s="87" t="s">
        <v>388</v>
      </c>
      <c r="AL69" s="87" t="s">
        <v>388</v>
      </c>
      <c r="AN69" s="4">
        <v>77</v>
      </c>
      <c r="AO69" s="4">
        <v>77</v>
      </c>
      <c r="AP69" s="4">
        <v>65</v>
      </c>
      <c r="AQ69" s="4">
        <v>65</v>
      </c>
      <c r="AR69" s="87" t="s">
        <v>388</v>
      </c>
      <c r="AT69" s="4">
        <v>67</v>
      </c>
      <c r="AU69" s="4">
        <v>67</v>
      </c>
      <c r="AV69" s="4">
        <v>66</v>
      </c>
      <c r="AW69" s="4">
        <v>66</v>
      </c>
      <c r="AX69" s="4">
        <v>73</v>
      </c>
      <c r="AY69" s="4">
        <v>73</v>
      </c>
      <c r="AZ69" s="87" t="s">
        <v>388</v>
      </c>
      <c r="BD69" s="3">
        <v>66</v>
      </c>
    </row>
    <row r="70" spans="2:56" ht="15.75">
      <c r="B70" s="3">
        <v>67</v>
      </c>
      <c r="D70" s="4">
        <v>69</v>
      </c>
      <c r="E70" s="4">
        <v>69</v>
      </c>
      <c r="F70" s="87" t="s">
        <v>388</v>
      </c>
      <c r="H70" s="87" t="s">
        <v>388</v>
      </c>
      <c r="J70" s="87" t="s">
        <v>388</v>
      </c>
      <c r="L70" s="4">
        <v>68</v>
      </c>
      <c r="M70" s="4">
        <v>68</v>
      </c>
      <c r="N70" s="4">
        <v>66</v>
      </c>
      <c r="O70" s="4">
        <v>66</v>
      </c>
      <c r="P70" s="87" t="s">
        <v>388</v>
      </c>
      <c r="R70" s="4">
        <v>64</v>
      </c>
      <c r="S70" s="4">
        <v>64</v>
      </c>
      <c r="T70" s="87" t="s">
        <v>388</v>
      </c>
      <c r="V70" s="87" t="s">
        <v>388</v>
      </c>
      <c r="X70" s="87" t="s">
        <v>388</v>
      </c>
      <c r="Z70" s="87" t="s">
        <v>388</v>
      </c>
      <c r="AB70" s="4">
        <v>66</v>
      </c>
      <c r="AC70" s="4">
        <v>67</v>
      </c>
      <c r="AD70" s="87" t="s">
        <v>388</v>
      </c>
      <c r="AF70" s="87" t="s">
        <v>388</v>
      </c>
      <c r="AH70" s="6">
        <v>79</v>
      </c>
      <c r="AI70" s="4">
        <v>79</v>
      </c>
      <c r="AJ70" s="87" t="s">
        <v>388</v>
      </c>
      <c r="AL70" s="4">
        <v>68</v>
      </c>
      <c r="AM70" s="4">
        <v>68</v>
      </c>
      <c r="AN70" s="87" t="s">
        <v>388</v>
      </c>
      <c r="AP70" s="4">
        <v>66</v>
      </c>
      <c r="AQ70" s="4">
        <v>66</v>
      </c>
      <c r="AR70" s="87" t="s">
        <v>388</v>
      </c>
      <c r="AT70" s="87" t="s">
        <v>388</v>
      </c>
      <c r="AV70" s="4">
        <v>67</v>
      </c>
      <c r="AW70" s="4">
        <v>67</v>
      </c>
      <c r="AX70" s="4">
        <v>74</v>
      </c>
      <c r="AY70" s="4">
        <v>74</v>
      </c>
      <c r="AZ70" s="87" t="s">
        <v>388</v>
      </c>
      <c r="BD70" s="3">
        <v>67</v>
      </c>
    </row>
    <row r="71" spans="2:56" ht="15.75">
      <c r="B71" s="3">
        <v>68</v>
      </c>
      <c r="D71" s="87" t="s">
        <v>388</v>
      </c>
      <c r="F71" s="4">
        <v>80</v>
      </c>
      <c r="G71" s="4">
        <v>80</v>
      </c>
      <c r="H71" s="4">
        <v>78</v>
      </c>
      <c r="I71" s="4">
        <v>78</v>
      </c>
      <c r="J71" s="4">
        <v>78</v>
      </c>
      <c r="K71" s="4">
        <v>78</v>
      </c>
      <c r="L71" s="4">
        <v>69</v>
      </c>
      <c r="M71" s="4">
        <v>69</v>
      </c>
      <c r="N71" s="87" t="s">
        <v>388</v>
      </c>
      <c r="P71" s="4">
        <v>66</v>
      </c>
      <c r="Q71" s="4">
        <v>67</v>
      </c>
      <c r="R71" s="87" t="s">
        <v>388</v>
      </c>
      <c r="T71" s="87" t="s">
        <v>388</v>
      </c>
      <c r="V71" s="4">
        <v>68</v>
      </c>
      <c r="W71" s="4">
        <v>69</v>
      </c>
      <c r="X71" s="4">
        <v>69</v>
      </c>
      <c r="Y71" s="4">
        <v>69</v>
      </c>
      <c r="Z71" s="87" t="s">
        <v>388</v>
      </c>
      <c r="AB71" s="87" t="s">
        <v>388</v>
      </c>
      <c r="AD71" s="87" t="s">
        <v>388</v>
      </c>
      <c r="AF71" s="4">
        <v>69</v>
      </c>
      <c r="AG71" s="4">
        <v>70</v>
      </c>
      <c r="AH71" s="88" t="s">
        <v>388</v>
      </c>
      <c r="AJ71" s="87" t="s">
        <v>388</v>
      </c>
      <c r="AL71" s="87" t="s">
        <v>388</v>
      </c>
      <c r="AN71" s="87" t="s">
        <v>388</v>
      </c>
      <c r="AP71" s="87" t="s">
        <v>388</v>
      </c>
      <c r="AR71" s="87" t="s">
        <v>388</v>
      </c>
      <c r="AT71" s="87" t="s">
        <v>388</v>
      </c>
      <c r="AV71" s="87" t="s">
        <v>388</v>
      </c>
      <c r="AX71" s="87" t="s">
        <v>388</v>
      </c>
      <c r="AZ71" s="87" t="s">
        <v>388</v>
      </c>
      <c r="BD71" s="3">
        <v>68</v>
      </c>
    </row>
    <row r="72" spans="2:56" ht="15.75">
      <c r="B72" s="3">
        <v>69</v>
      </c>
      <c r="D72" s="87" t="s">
        <v>388</v>
      </c>
      <c r="F72" s="87" t="s">
        <v>388</v>
      </c>
      <c r="H72" s="87" t="s">
        <v>388</v>
      </c>
      <c r="J72" s="87" t="s">
        <v>388</v>
      </c>
      <c r="L72" s="87" t="s">
        <v>388</v>
      </c>
      <c r="N72" s="87" t="s">
        <v>388</v>
      </c>
      <c r="P72" s="87" t="s">
        <v>388</v>
      </c>
      <c r="R72" s="4">
        <v>65</v>
      </c>
      <c r="S72" s="4">
        <v>65</v>
      </c>
      <c r="T72" s="87" t="s">
        <v>388</v>
      </c>
      <c r="V72" s="87" t="s">
        <v>388</v>
      </c>
      <c r="X72" s="4">
        <v>70</v>
      </c>
      <c r="Y72" s="4">
        <v>70</v>
      </c>
      <c r="Z72" s="87" t="s">
        <v>388</v>
      </c>
      <c r="AB72" s="87" t="s">
        <v>388</v>
      </c>
      <c r="AD72" s="4">
        <v>69</v>
      </c>
      <c r="AE72" s="4">
        <v>69</v>
      </c>
      <c r="AF72" s="87" t="s">
        <v>388</v>
      </c>
      <c r="AH72" s="88" t="s">
        <v>388</v>
      </c>
      <c r="AJ72" s="87" t="s">
        <v>388</v>
      </c>
      <c r="AL72" s="87" t="s">
        <v>388</v>
      </c>
      <c r="AN72" s="4">
        <v>78</v>
      </c>
      <c r="AO72" s="4">
        <v>78</v>
      </c>
      <c r="AP72" s="87" t="s">
        <v>388</v>
      </c>
      <c r="AR72" s="87" t="s">
        <v>388</v>
      </c>
      <c r="AT72" s="87" t="s">
        <v>388</v>
      </c>
      <c r="AV72" s="87" t="s">
        <v>388</v>
      </c>
      <c r="AX72" s="4">
        <v>75</v>
      </c>
      <c r="AY72" s="4">
        <v>75</v>
      </c>
      <c r="AZ72" s="4">
        <v>64</v>
      </c>
      <c r="BA72" s="4">
        <v>64</v>
      </c>
      <c r="BD72" s="3">
        <v>69</v>
      </c>
    </row>
    <row r="73" spans="2:56" ht="15.75">
      <c r="B73" s="3">
        <v>70</v>
      </c>
      <c r="D73" s="87" t="s">
        <v>388</v>
      </c>
      <c r="F73" s="4">
        <v>81</v>
      </c>
      <c r="G73" s="4">
        <v>81</v>
      </c>
      <c r="H73" s="87" t="s">
        <v>388</v>
      </c>
      <c r="J73" s="4">
        <v>79</v>
      </c>
      <c r="K73" s="4">
        <v>79</v>
      </c>
      <c r="L73" s="87" t="s">
        <v>388</v>
      </c>
      <c r="N73" s="87" t="s">
        <v>388</v>
      </c>
      <c r="P73" s="4">
        <v>68</v>
      </c>
      <c r="Q73" s="4">
        <v>68</v>
      </c>
      <c r="R73" s="87" t="s">
        <v>388</v>
      </c>
      <c r="T73" s="4">
        <v>65</v>
      </c>
      <c r="U73" s="4">
        <v>65</v>
      </c>
      <c r="V73" s="4">
        <v>70</v>
      </c>
      <c r="W73" s="4">
        <v>70</v>
      </c>
      <c r="X73" s="87" t="s">
        <v>388</v>
      </c>
      <c r="Z73" s="4">
        <v>67</v>
      </c>
      <c r="AA73" s="4">
        <v>67</v>
      </c>
      <c r="AB73" s="87" t="s">
        <v>388</v>
      </c>
      <c r="AD73" s="4">
        <v>70</v>
      </c>
      <c r="AE73" s="4">
        <v>70</v>
      </c>
      <c r="AF73" s="4">
        <v>71</v>
      </c>
      <c r="AG73" s="4">
        <v>71</v>
      </c>
      <c r="AH73" s="88" t="s">
        <v>388</v>
      </c>
      <c r="AJ73" s="4">
        <v>71</v>
      </c>
      <c r="AK73" s="4">
        <v>71</v>
      </c>
      <c r="AL73" s="87" t="s">
        <v>388</v>
      </c>
      <c r="AN73" s="4">
        <v>79</v>
      </c>
      <c r="AO73" s="4">
        <v>79</v>
      </c>
      <c r="AP73" s="87" t="s">
        <v>388</v>
      </c>
      <c r="AR73" s="87" t="s">
        <v>388</v>
      </c>
      <c r="AT73" s="4">
        <v>68</v>
      </c>
      <c r="AU73" s="4">
        <v>68</v>
      </c>
      <c r="AV73" s="87" t="s">
        <v>388</v>
      </c>
      <c r="AX73" s="4">
        <v>76</v>
      </c>
      <c r="AY73" s="4">
        <v>77</v>
      </c>
      <c r="AZ73" s="4">
        <v>65</v>
      </c>
      <c r="BA73" s="4">
        <v>65</v>
      </c>
      <c r="BD73" s="3">
        <v>70</v>
      </c>
    </row>
    <row r="74" spans="2:56" ht="15.75">
      <c r="B74" s="3">
        <v>71</v>
      </c>
      <c r="D74" s="4">
        <v>70</v>
      </c>
      <c r="E74" s="4">
        <v>71</v>
      </c>
      <c r="F74" s="87" t="s">
        <v>388</v>
      </c>
      <c r="H74" s="87" t="s">
        <v>388</v>
      </c>
      <c r="J74" s="87" t="s">
        <v>388</v>
      </c>
      <c r="L74" s="87" t="s">
        <v>388</v>
      </c>
      <c r="N74" s="4">
        <v>67</v>
      </c>
      <c r="O74" s="4">
        <v>67</v>
      </c>
      <c r="P74" s="87" t="s">
        <v>388</v>
      </c>
      <c r="R74" s="87" t="s">
        <v>388</v>
      </c>
      <c r="T74" s="4">
        <v>66</v>
      </c>
      <c r="U74" s="4">
        <v>66</v>
      </c>
      <c r="V74" s="87" t="s">
        <v>388</v>
      </c>
      <c r="X74" s="87" t="s">
        <v>388</v>
      </c>
      <c r="Z74" s="87" t="s">
        <v>388</v>
      </c>
      <c r="AB74" s="4">
        <v>68</v>
      </c>
      <c r="AC74" s="4">
        <v>68</v>
      </c>
      <c r="AD74" s="87" t="s">
        <v>388</v>
      </c>
      <c r="AF74" s="87" t="s">
        <v>388</v>
      </c>
      <c r="AH74" s="6">
        <v>80</v>
      </c>
      <c r="AI74" s="4">
        <v>81</v>
      </c>
      <c r="AJ74" s="4">
        <v>72</v>
      </c>
      <c r="AK74" s="4">
        <v>72</v>
      </c>
      <c r="AL74" s="87" t="s">
        <v>388</v>
      </c>
      <c r="AN74" s="87" t="s">
        <v>388</v>
      </c>
      <c r="AP74" s="87" t="s">
        <v>388</v>
      </c>
      <c r="AR74" s="87" t="s">
        <v>388</v>
      </c>
      <c r="AT74" s="87" t="s">
        <v>388</v>
      </c>
      <c r="AV74" s="87" t="s">
        <v>388</v>
      </c>
      <c r="AX74" s="87" t="s">
        <v>388</v>
      </c>
      <c r="AZ74" s="87" t="s">
        <v>388</v>
      </c>
      <c r="BD74" s="3">
        <v>71</v>
      </c>
    </row>
    <row r="75" spans="2:56" ht="15.75">
      <c r="B75" s="3">
        <v>72</v>
      </c>
      <c r="D75" s="87" t="s">
        <v>388</v>
      </c>
      <c r="F75" s="87" t="s">
        <v>388</v>
      </c>
      <c r="H75" s="4">
        <v>79</v>
      </c>
      <c r="I75" s="4">
        <v>79</v>
      </c>
      <c r="J75" s="87" t="s">
        <v>388</v>
      </c>
      <c r="L75" s="4">
        <v>70</v>
      </c>
      <c r="M75" s="4">
        <v>71</v>
      </c>
      <c r="N75" s="87" t="s">
        <v>388</v>
      </c>
      <c r="P75" s="87" t="s">
        <v>388</v>
      </c>
      <c r="R75" s="87" t="s">
        <v>388</v>
      </c>
      <c r="T75" s="87" t="s">
        <v>388</v>
      </c>
      <c r="V75" s="87" t="s">
        <v>388</v>
      </c>
      <c r="X75" s="4">
        <v>71</v>
      </c>
      <c r="Y75" s="4">
        <v>71</v>
      </c>
      <c r="Z75" s="87" t="s">
        <v>388</v>
      </c>
      <c r="AB75" s="87" t="s">
        <v>388</v>
      </c>
      <c r="AD75" s="4">
        <v>71</v>
      </c>
      <c r="AE75" s="4">
        <v>71</v>
      </c>
      <c r="AF75" s="87" t="s">
        <v>388</v>
      </c>
      <c r="AH75" s="88" t="s">
        <v>388</v>
      </c>
      <c r="AJ75" s="4">
        <v>73</v>
      </c>
      <c r="AK75" s="4">
        <v>73</v>
      </c>
      <c r="AL75" s="4">
        <v>69</v>
      </c>
      <c r="AM75" s="4">
        <v>70</v>
      </c>
      <c r="AN75" s="4">
        <v>80</v>
      </c>
      <c r="AO75" s="4">
        <v>80</v>
      </c>
      <c r="AP75" s="4">
        <v>67</v>
      </c>
      <c r="AQ75" s="4">
        <v>67</v>
      </c>
      <c r="AR75" s="4">
        <v>64</v>
      </c>
      <c r="AS75" s="4">
        <v>64</v>
      </c>
      <c r="AT75" s="87" t="s">
        <v>388</v>
      </c>
      <c r="AV75" s="4">
        <v>68</v>
      </c>
      <c r="AW75" s="4">
        <v>68</v>
      </c>
      <c r="AX75" s="4">
        <v>78</v>
      </c>
      <c r="AY75" s="4">
        <v>79</v>
      </c>
      <c r="AZ75" s="87" t="s">
        <v>388</v>
      </c>
      <c r="BD75" s="3">
        <v>72</v>
      </c>
    </row>
    <row r="76" spans="2:56" ht="15.75">
      <c r="B76" s="3">
        <v>73</v>
      </c>
      <c r="D76" s="4">
        <v>72</v>
      </c>
      <c r="E76" s="4">
        <v>72</v>
      </c>
      <c r="F76" s="87" t="s">
        <v>388</v>
      </c>
      <c r="H76" s="87" t="s">
        <v>388</v>
      </c>
      <c r="J76" s="4">
        <v>80</v>
      </c>
      <c r="K76" s="4">
        <v>81</v>
      </c>
      <c r="L76" s="4">
        <v>72</v>
      </c>
      <c r="M76" s="4">
        <v>72</v>
      </c>
      <c r="N76" s="4">
        <v>68</v>
      </c>
      <c r="O76" s="4">
        <v>68</v>
      </c>
      <c r="P76" s="87" t="s">
        <v>388</v>
      </c>
      <c r="R76" s="87" t="s">
        <v>388</v>
      </c>
      <c r="T76" s="87" t="s">
        <v>388</v>
      </c>
      <c r="V76" s="87" t="s">
        <v>388</v>
      </c>
      <c r="X76" s="4">
        <v>72</v>
      </c>
      <c r="Y76" s="4">
        <v>72</v>
      </c>
      <c r="Z76" s="4">
        <v>68</v>
      </c>
      <c r="AA76" s="4">
        <v>68</v>
      </c>
      <c r="AB76" s="87" t="s">
        <v>388</v>
      </c>
      <c r="AD76" s="87" t="s">
        <v>388</v>
      </c>
      <c r="AF76" s="4">
        <v>72</v>
      </c>
      <c r="AG76" s="4">
        <v>73</v>
      </c>
      <c r="AH76" s="88" t="s">
        <v>388</v>
      </c>
      <c r="AJ76" s="87" t="s">
        <v>388</v>
      </c>
      <c r="AL76" s="87" t="s">
        <v>388</v>
      </c>
      <c r="AN76" s="4">
        <v>81</v>
      </c>
      <c r="AO76" s="4">
        <v>81</v>
      </c>
      <c r="AP76" s="87" t="s">
        <v>388</v>
      </c>
      <c r="AR76" s="87" t="s">
        <v>388</v>
      </c>
      <c r="AT76" s="4">
        <v>69</v>
      </c>
      <c r="AU76" s="4">
        <v>69</v>
      </c>
      <c r="AV76" s="87" t="s">
        <v>388</v>
      </c>
      <c r="AX76" s="4">
        <v>80</v>
      </c>
      <c r="AY76" s="4">
        <v>80</v>
      </c>
      <c r="AZ76" s="87" t="s">
        <v>388</v>
      </c>
      <c r="BD76" s="3">
        <v>73</v>
      </c>
    </row>
    <row r="77" spans="2:56" ht="15.75">
      <c r="B77" s="3">
        <v>74</v>
      </c>
      <c r="D77" s="87" t="s">
        <v>388</v>
      </c>
      <c r="F77" s="4">
        <v>82</v>
      </c>
      <c r="G77" s="4">
        <v>82</v>
      </c>
      <c r="H77" s="4">
        <v>80</v>
      </c>
      <c r="I77" s="4">
        <v>80</v>
      </c>
      <c r="J77" s="87" t="s">
        <v>388</v>
      </c>
      <c r="L77" s="87" t="s">
        <v>388</v>
      </c>
      <c r="N77" s="4">
        <v>69</v>
      </c>
      <c r="O77" s="4">
        <v>69</v>
      </c>
      <c r="P77" s="4">
        <v>69</v>
      </c>
      <c r="Q77" s="4">
        <v>69</v>
      </c>
      <c r="R77" s="4">
        <v>66</v>
      </c>
      <c r="S77" s="4">
        <v>67</v>
      </c>
      <c r="T77" s="87" t="s">
        <v>388</v>
      </c>
      <c r="V77" s="87" t="s">
        <v>388</v>
      </c>
      <c r="X77" s="87" t="s">
        <v>388</v>
      </c>
      <c r="Z77" s="87" t="s">
        <v>388</v>
      </c>
      <c r="AB77" s="4">
        <v>69</v>
      </c>
      <c r="AC77" s="4">
        <v>69</v>
      </c>
      <c r="AD77" s="4">
        <v>72</v>
      </c>
      <c r="AE77" s="4">
        <v>72</v>
      </c>
      <c r="AF77" s="87" t="s">
        <v>388</v>
      </c>
      <c r="AH77" s="6">
        <v>82</v>
      </c>
      <c r="AI77" s="4">
        <v>82</v>
      </c>
      <c r="AJ77" s="4">
        <v>74</v>
      </c>
      <c r="AK77" s="4">
        <v>74</v>
      </c>
      <c r="AL77" s="4">
        <v>71</v>
      </c>
      <c r="AM77" s="4">
        <v>71</v>
      </c>
      <c r="AN77" s="4">
        <v>82</v>
      </c>
      <c r="AO77" s="4">
        <v>82</v>
      </c>
      <c r="AP77" s="87" t="s">
        <v>388</v>
      </c>
      <c r="AR77" s="4">
        <v>65</v>
      </c>
      <c r="AS77" s="4">
        <v>65</v>
      </c>
      <c r="AT77" s="87" t="s">
        <v>388</v>
      </c>
      <c r="AV77" s="87" t="s">
        <v>388</v>
      </c>
      <c r="AX77" s="4">
        <v>81</v>
      </c>
      <c r="AY77" s="4">
        <v>81</v>
      </c>
      <c r="AZ77" s="87" t="s">
        <v>388</v>
      </c>
      <c r="BD77" s="3">
        <v>74</v>
      </c>
    </row>
    <row r="78" spans="2:56" ht="15.75">
      <c r="B78" s="3">
        <v>75</v>
      </c>
      <c r="D78" s="87" t="s">
        <v>388</v>
      </c>
      <c r="F78" s="87" t="s">
        <v>388</v>
      </c>
      <c r="H78" s="87" t="s">
        <v>388</v>
      </c>
      <c r="J78" s="4">
        <v>82</v>
      </c>
      <c r="K78" s="4">
        <v>82</v>
      </c>
      <c r="L78" s="87" t="s">
        <v>388</v>
      </c>
      <c r="N78" s="87" t="s">
        <v>388</v>
      </c>
      <c r="P78" s="4">
        <v>70</v>
      </c>
      <c r="Q78" s="4">
        <v>70</v>
      </c>
      <c r="R78" s="87" t="s">
        <v>388</v>
      </c>
      <c r="T78" s="87" t="s">
        <v>388</v>
      </c>
      <c r="V78" s="87" t="s">
        <v>388</v>
      </c>
      <c r="X78" s="4">
        <v>73</v>
      </c>
      <c r="Y78" s="4">
        <v>73</v>
      </c>
      <c r="Z78" s="4">
        <v>69</v>
      </c>
      <c r="AA78" s="4">
        <v>69</v>
      </c>
      <c r="AB78" s="4">
        <v>70</v>
      </c>
      <c r="AC78" s="4">
        <v>70</v>
      </c>
      <c r="AD78" s="87" t="s">
        <v>388</v>
      </c>
      <c r="AF78" s="4">
        <v>74</v>
      </c>
      <c r="AG78" s="4">
        <v>74</v>
      </c>
      <c r="AH78" s="88" t="s">
        <v>388</v>
      </c>
      <c r="AJ78" s="87" t="s">
        <v>388</v>
      </c>
      <c r="AL78" s="87" t="s">
        <v>388</v>
      </c>
      <c r="AN78" s="87" t="s">
        <v>388</v>
      </c>
      <c r="AP78" s="87" t="s">
        <v>388</v>
      </c>
      <c r="AR78" s="87" t="s">
        <v>388</v>
      </c>
      <c r="AT78" s="4">
        <v>70</v>
      </c>
      <c r="AU78" s="4">
        <v>70</v>
      </c>
      <c r="AV78" s="4">
        <v>69</v>
      </c>
      <c r="AW78" s="4">
        <v>69</v>
      </c>
      <c r="AX78" s="87" t="s">
        <v>388</v>
      </c>
      <c r="AZ78" s="87" t="s">
        <v>388</v>
      </c>
      <c r="BD78" s="3">
        <v>75</v>
      </c>
    </row>
    <row r="79" spans="2:56" ht="15.75">
      <c r="B79" s="3">
        <v>76</v>
      </c>
      <c r="D79" s="4">
        <v>73</v>
      </c>
      <c r="E79" s="4">
        <v>73</v>
      </c>
      <c r="F79" s="4">
        <v>83</v>
      </c>
      <c r="G79" s="4">
        <v>83</v>
      </c>
      <c r="H79" s="87" t="s">
        <v>388</v>
      </c>
      <c r="J79" s="87" t="s">
        <v>388</v>
      </c>
      <c r="L79" s="87" t="s">
        <v>388</v>
      </c>
      <c r="N79" s="87" t="s">
        <v>388</v>
      </c>
      <c r="P79" s="87" t="s">
        <v>388</v>
      </c>
      <c r="R79" s="4">
        <v>68</v>
      </c>
      <c r="S79" s="4">
        <v>68</v>
      </c>
      <c r="T79" s="87" t="s">
        <v>388</v>
      </c>
      <c r="V79" s="87" t="s">
        <v>388</v>
      </c>
      <c r="X79" s="87" t="s">
        <v>388</v>
      </c>
      <c r="Z79" s="87" t="s">
        <v>388</v>
      </c>
      <c r="AB79" s="87" t="s">
        <v>388</v>
      </c>
      <c r="AD79" s="4">
        <v>73</v>
      </c>
      <c r="AE79" s="4">
        <v>73</v>
      </c>
      <c r="AF79" s="87" t="s">
        <v>388</v>
      </c>
      <c r="AH79" s="88" t="s">
        <v>388</v>
      </c>
      <c r="AJ79" s="87" t="s">
        <v>388</v>
      </c>
      <c r="AL79" s="87" t="s">
        <v>388</v>
      </c>
      <c r="AN79" s="4">
        <v>83</v>
      </c>
      <c r="AO79" s="4">
        <v>83</v>
      </c>
      <c r="AP79" s="87" t="s">
        <v>388</v>
      </c>
      <c r="AR79" s="4">
        <v>66</v>
      </c>
      <c r="AS79" s="4">
        <v>66</v>
      </c>
      <c r="AT79" s="87" t="s">
        <v>388</v>
      </c>
      <c r="AV79" s="4">
        <v>70</v>
      </c>
      <c r="AW79" s="4">
        <v>70</v>
      </c>
      <c r="AX79" s="4">
        <v>82</v>
      </c>
      <c r="AY79" s="4">
        <v>83</v>
      </c>
      <c r="AZ79" s="4">
        <v>66</v>
      </c>
      <c r="BA79" s="4">
        <v>67</v>
      </c>
      <c r="BD79" s="3">
        <v>76</v>
      </c>
    </row>
    <row r="80" spans="2:56" ht="15.75">
      <c r="B80" s="3">
        <v>77</v>
      </c>
      <c r="D80" s="87" t="s">
        <v>388</v>
      </c>
      <c r="F80" s="87" t="s">
        <v>388</v>
      </c>
      <c r="H80" s="4">
        <v>81</v>
      </c>
      <c r="I80" s="4">
        <v>81</v>
      </c>
      <c r="J80" s="87" t="s">
        <v>388</v>
      </c>
      <c r="L80" s="87" t="s">
        <v>388</v>
      </c>
      <c r="N80" s="4">
        <v>70</v>
      </c>
      <c r="O80" s="4">
        <v>70</v>
      </c>
      <c r="P80" s="87" t="s">
        <v>388</v>
      </c>
      <c r="R80" s="87" t="s">
        <v>388</v>
      </c>
      <c r="T80" s="4">
        <v>67</v>
      </c>
      <c r="U80" s="4">
        <v>67</v>
      </c>
      <c r="V80" s="87" t="s">
        <v>388</v>
      </c>
      <c r="X80" s="4">
        <v>74</v>
      </c>
      <c r="Y80" s="4">
        <v>74</v>
      </c>
      <c r="Z80" s="4">
        <v>70</v>
      </c>
      <c r="AA80" s="4">
        <v>70</v>
      </c>
      <c r="AB80" s="87" t="s">
        <v>388</v>
      </c>
      <c r="AD80" s="4">
        <v>74</v>
      </c>
      <c r="AE80" s="4">
        <v>74</v>
      </c>
      <c r="AF80" s="87" t="s">
        <v>388</v>
      </c>
      <c r="AH80" s="88" t="s">
        <v>388</v>
      </c>
      <c r="AJ80" s="87" t="s">
        <v>388</v>
      </c>
      <c r="AL80" s="87" t="s">
        <v>388</v>
      </c>
      <c r="AN80" s="4">
        <v>84</v>
      </c>
      <c r="AO80" s="4">
        <v>84</v>
      </c>
      <c r="AP80" s="87" t="s">
        <v>388</v>
      </c>
      <c r="AR80" s="4">
        <v>67</v>
      </c>
      <c r="AS80" s="4">
        <v>67</v>
      </c>
      <c r="AT80" s="4">
        <v>71</v>
      </c>
      <c r="AU80" s="4">
        <v>71</v>
      </c>
      <c r="AV80" s="87" t="s">
        <v>388</v>
      </c>
      <c r="AX80" s="87" t="s">
        <v>388</v>
      </c>
      <c r="AZ80" s="87" t="s">
        <v>388</v>
      </c>
      <c r="BD80" s="3">
        <v>77</v>
      </c>
    </row>
    <row r="81" spans="2:56" ht="15.75">
      <c r="B81" s="3">
        <v>78</v>
      </c>
      <c r="D81" s="4">
        <v>74</v>
      </c>
      <c r="E81" s="4">
        <v>74</v>
      </c>
      <c r="F81" s="4">
        <v>84</v>
      </c>
      <c r="G81" s="4">
        <v>84</v>
      </c>
      <c r="H81" s="4">
        <v>82</v>
      </c>
      <c r="I81" s="4">
        <v>82</v>
      </c>
      <c r="J81" s="4">
        <v>83</v>
      </c>
      <c r="K81" s="4">
        <v>83</v>
      </c>
      <c r="L81" s="4">
        <v>73</v>
      </c>
      <c r="M81" s="4">
        <v>73</v>
      </c>
      <c r="N81" s="87" t="s">
        <v>388</v>
      </c>
      <c r="P81" s="4">
        <v>71</v>
      </c>
      <c r="Q81" s="4">
        <v>71</v>
      </c>
      <c r="R81" s="87" t="s">
        <v>388</v>
      </c>
      <c r="T81" s="87" t="s">
        <v>388</v>
      </c>
      <c r="V81" s="87" t="s">
        <v>388</v>
      </c>
      <c r="X81" s="87" t="s">
        <v>388</v>
      </c>
      <c r="Z81" s="4">
        <v>71</v>
      </c>
      <c r="AA81" s="4">
        <v>71</v>
      </c>
      <c r="AB81" s="87" t="s">
        <v>388</v>
      </c>
      <c r="AD81" s="87" t="s">
        <v>388</v>
      </c>
      <c r="AF81" s="4">
        <v>75</v>
      </c>
      <c r="AG81" s="4">
        <v>76</v>
      </c>
      <c r="AH81" s="6">
        <v>83</v>
      </c>
      <c r="AI81" s="4">
        <v>83</v>
      </c>
      <c r="AJ81" s="4">
        <v>75</v>
      </c>
      <c r="AK81" s="4">
        <v>78</v>
      </c>
      <c r="AL81" s="87" t="s">
        <v>388</v>
      </c>
      <c r="AN81" s="4">
        <v>85</v>
      </c>
      <c r="AO81" s="4">
        <v>86</v>
      </c>
      <c r="AP81" s="87" t="s">
        <v>388</v>
      </c>
      <c r="AR81" s="87" t="s">
        <v>388</v>
      </c>
      <c r="AT81" s="87" t="s">
        <v>388</v>
      </c>
      <c r="AV81" s="4">
        <v>71</v>
      </c>
      <c r="AW81" s="4">
        <v>71</v>
      </c>
      <c r="AX81" s="4">
        <v>84</v>
      </c>
      <c r="AY81" s="4">
        <v>84</v>
      </c>
      <c r="AZ81" s="87" t="s">
        <v>388</v>
      </c>
      <c r="BD81" s="3">
        <v>78</v>
      </c>
    </row>
    <row r="82" spans="2:56" ht="15.75">
      <c r="B82" s="3">
        <v>79</v>
      </c>
      <c r="D82" s="87" t="s">
        <v>388</v>
      </c>
      <c r="F82" s="87" t="s">
        <v>388</v>
      </c>
      <c r="H82" s="87" t="s">
        <v>388</v>
      </c>
      <c r="J82" s="87" t="s">
        <v>388</v>
      </c>
      <c r="L82" s="4">
        <v>74</v>
      </c>
      <c r="M82" s="4">
        <v>74</v>
      </c>
      <c r="N82" s="87" t="s">
        <v>388</v>
      </c>
      <c r="P82" s="87" t="s">
        <v>388</v>
      </c>
      <c r="R82" s="87" t="s">
        <v>388</v>
      </c>
      <c r="T82" s="87" t="s">
        <v>388</v>
      </c>
      <c r="V82" s="4">
        <v>71</v>
      </c>
      <c r="W82" s="4">
        <v>73</v>
      </c>
      <c r="X82" s="4">
        <v>75</v>
      </c>
      <c r="Y82" s="4">
        <v>75</v>
      </c>
      <c r="Z82" s="87" t="s">
        <v>388</v>
      </c>
      <c r="AB82" s="4">
        <v>71</v>
      </c>
      <c r="AC82" s="4">
        <v>71</v>
      </c>
      <c r="AD82" s="4">
        <v>75</v>
      </c>
      <c r="AE82" s="4">
        <v>76</v>
      </c>
      <c r="AF82" s="87" t="s">
        <v>388</v>
      </c>
      <c r="AH82" s="88" t="s">
        <v>388</v>
      </c>
      <c r="AJ82" s="87" t="s">
        <v>388</v>
      </c>
      <c r="AL82" s="4">
        <v>72</v>
      </c>
      <c r="AM82" s="4">
        <v>73</v>
      </c>
      <c r="AN82" s="4">
        <v>87</v>
      </c>
      <c r="AO82" s="4">
        <v>88</v>
      </c>
      <c r="AP82" s="87" t="s">
        <v>388</v>
      </c>
      <c r="AR82" s="4">
        <v>68</v>
      </c>
      <c r="AS82" s="4">
        <v>68</v>
      </c>
      <c r="AT82" s="4">
        <v>72</v>
      </c>
      <c r="AU82" s="4">
        <v>72</v>
      </c>
      <c r="AV82" s="87" t="s">
        <v>388</v>
      </c>
      <c r="AX82" s="87" t="s">
        <v>388</v>
      </c>
      <c r="AZ82" s="4">
        <v>68</v>
      </c>
      <c r="BA82" s="4">
        <v>68</v>
      </c>
      <c r="BD82" s="3">
        <v>79</v>
      </c>
    </row>
    <row r="83" spans="2:56" ht="15.75">
      <c r="B83" s="3">
        <v>80</v>
      </c>
      <c r="D83" s="4">
        <v>75</v>
      </c>
      <c r="E83" s="4">
        <v>76</v>
      </c>
      <c r="F83" s="4">
        <v>85</v>
      </c>
      <c r="G83" s="4">
        <v>87</v>
      </c>
      <c r="H83" s="87" t="s">
        <v>388</v>
      </c>
      <c r="J83" s="4">
        <v>84</v>
      </c>
      <c r="K83" s="4">
        <v>84</v>
      </c>
      <c r="L83" s="87" t="s">
        <v>388</v>
      </c>
      <c r="N83" s="4">
        <v>71</v>
      </c>
      <c r="O83" s="4">
        <v>71</v>
      </c>
      <c r="P83" s="4">
        <v>72</v>
      </c>
      <c r="Q83" s="4">
        <v>72</v>
      </c>
      <c r="R83" s="87" t="s">
        <v>388</v>
      </c>
      <c r="T83" s="87" t="s">
        <v>388</v>
      </c>
      <c r="V83" s="87" t="s">
        <v>388</v>
      </c>
      <c r="X83" s="4">
        <v>76</v>
      </c>
      <c r="Y83" s="4">
        <v>76</v>
      </c>
      <c r="Z83" s="87" t="s">
        <v>388</v>
      </c>
      <c r="AB83" s="87" t="s">
        <v>388</v>
      </c>
      <c r="AD83" s="4">
        <v>77</v>
      </c>
      <c r="AE83" s="4">
        <v>77</v>
      </c>
      <c r="AF83" s="4">
        <v>77</v>
      </c>
      <c r="AG83" s="4">
        <v>77</v>
      </c>
      <c r="AH83" s="6">
        <v>84</v>
      </c>
      <c r="AI83" s="4">
        <v>84</v>
      </c>
      <c r="AJ83" s="4">
        <v>79</v>
      </c>
      <c r="AK83" s="4">
        <v>79</v>
      </c>
      <c r="AL83" s="87" t="s">
        <v>388</v>
      </c>
      <c r="AN83" s="87" t="s">
        <v>388</v>
      </c>
      <c r="AP83" s="4">
        <v>68</v>
      </c>
      <c r="AQ83" s="4">
        <v>71</v>
      </c>
      <c r="AR83" s="87" t="s">
        <v>388</v>
      </c>
      <c r="AT83" s="87" t="s">
        <v>388</v>
      </c>
      <c r="AV83" s="87" t="s">
        <v>388</v>
      </c>
      <c r="AX83" s="4">
        <v>85</v>
      </c>
      <c r="AY83" s="4">
        <v>87</v>
      </c>
      <c r="AZ83" s="87" t="s">
        <v>388</v>
      </c>
      <c r="BD83" s="3">
        <v>80</v>
      </c>
    </row>
    <row r="84" spans="2:56" ht="15.75">
      <c r="B84" s="3">
        <v>81</v>
      </c>
      <c r="D84" s="4">
        <v>77</v>
      </c>
      <c r="E84" s="4">
        <v>77</v>
      </c>
      <c r="F84" s="4">
        <v>88</v>
      </c>
      <c r="G84" s="4">
        <v>88</v>
      </c>
      <c r="H84" s="4">
        <v>83</v>
      </c>
      <c r="I84" s="4">
        <v>83</v>
      </c>
      <c r="J84" s="87" t="s">
        <v>388</v>
      </c>
      <c r="L84" s="87" t="s">
        <v>388</v>
      </c>
      <c r="N84" s="87" t="s">
        <v>388</v>
      </c>
      <c r="P84" s="87" t="s">
        <v>388</v>
      </c>
      <c r="R84" s="4">
        <v>69</v>
      </c>
      <c r="S84" s="4">
        <v>70</v>
      </c>
      <c r="T84" s="4">
        <v>68</v>
      </c>
      <c r="U84" s="4">
        <v>68</v>
      </c>
      <c r="V84" s="4">
        <v>74</v>
      </c>
      <c r="W84" s="4">
        <v>74</v>
      </c>
      <c r="X84" s="87" t="s">
        <v>388</v>
      </c>
      <c r="Z84" s="4">
        <v>72</v>
      </c>
      <c r="AA84" s="4">
        <v>72</v>
      </c>
      <c r="AB84" s="4">
        <v>72</v>
      </c>
      <c r="AC84" s="4">
        <v>72</v>
      </c>
      <c r="AD84" s="4">
        <v>78</v>
      </c>
      <c r="AE84" s="4">
        <v>79</v>
      </c>
      <c r="AF84" s="87" t="s">
        <v>388</v>
      </c>
      <c r="AH84" s="88" t="s">
        <v>388</v>
      </c>
      <c r="AJ84" s="87" t="s">
        <v>388</v>
      </c>
      <c r="AL84" s="4">
        <v>74</v>
      </c>
      <c r="AM84" s="4">
        <v>74</v>
      </c>
      <c r="AN84" s="4">
        <v>89</v>
      </c>
      <c r="AO84" s="4">
        <v>89</v>
      </c>
      <c r="AP84" s="4">
        <v>72</v>
      </c>
      <c r="AQ84" s="4">
        <v>73</v>
      </c>
      <c r="AR84" s="4">
        <v>69</v>
      </c>
      <c r="AS84" s="4">
        <v>70</v>
      </c>
      <c r="AT84" s="4">
        <v>73</v>
      </c>
      <c r="AU84" s="4">
        <v>73</v>
      </c>
      <c r="AV84" s="4">
        <v>72</v>
      </c>
      <c r="AW84" s="4">
        <v>72</v>
      </c>
      <c r="AX84" s="4">
        <v>88</v>
      </c>
      <c r="AY84" s="4">
        <v>88</v>
      </c>
      <c r="AZ84" s="4">
        <v>69</v>
      </c>
      <c r="BA84" s="4">
        <v>69</v>
      </c>
      <c r="BD84" s="3">
        <v>81</v>
      </c>
    </row>
    <row r="85" spans="2:56" ht="15.75">
      <c r="B85" s="3">
        <v>82</v>
      </c>
      <c r="D85" s="87" t="s">
        <v>388</v>
      </c>
      <c r="F85" s="87" t="s">
        <v>388</v>
      </c>
      <c r="H85" s="87" t="s">
        <v>388</v>
      </c>
      <c r="J85" s="87" t="s">
        <v>388</v>
      </c>
      <c r="L85" s="87" t="s">
        <v>388</v>
      </c>
      <c r="N85" s="87" t="s">
        <v>388</v>
      </c>
      <c r="P85" s="4">
        <v>73</v>
      </c>
      <c r="Q85" s="4">
        <v>73</v>
      </c>
      <c r="R85" s="87" t="s">
        <v>388</v>
      </c>
      <c r="T85" s="4">
        <v>69</v>
      </c>
      <c r="U85" s="4">
        <v>69</v>
      </c>
      <c r="V85" s="87" t="s">
        <v>388</v>
      </c>
      <c r="X85" s="4">
        <v>77</v>
      </c>
      <c r="Y85" s="4">
        <v>77</v>
      </c>
      <c r="Z85" s="87" t="s">
        <v>388</v>
      </c>
      <c r="AB85" s="4">
        <v>73</v>
      </c>
      <c r="AC85" s="4">
        <v>73</v>
      </c>
      <c r="AD85" s="4">
        <v>80</v>
      </c>
      <c r="AE85" s="4">
        <v>80</v>
      </c>
      <c r="AF85" s="4">
        <v>78</v>
      </c>
      <c r="AG85" s="4">
        <v>80</v>
      </c>
      <c r="AH85" s="6">
        <v>85</v>
      </c>
      <c r="AI85" s="4">
        <v>88</v>
      </c>
      <c r="AJ85" s="87" t="s">
        <v>388</v>
      </c>
      <c r="AL85" s="87" t="s">
        <v>388</v>
      </c>
      <c r="AN85" s="87" t="s">
        <v>388</v>
      </c>
      <c r="AP85" s="87" t="s">
        <v>388</v>
      </c>
      <c r="AR85" s="4">
        <v>71</v>
      </c>
      <c r="AS85" s="4">
        <v>71</v>
      </c>
      <c r="AT85" s="87" t="s">
        <v>388</v>
      </c>
      <c r="AV85" s="87" t="s">
        <v>388</v>
      </c>
      <c r="AX85" s="87" t="s">
        <v>388</v>
      </c>
      <c r="AZ85" s="4">
        <v>70</v>
      </c>
      <c r="BA85" s="4">
        <v>70</v>
      </c>
      <c r="BD85" s="3">
        <v>82</v>
      </c>
    </row>
    <row r="86" spans="2:56" ht="15.75">
      <c r="B86" s="3">
        <v>83</v>
      </c>
      <c r="D86" s="87" t="s">
        <v>388</v>
      </c>
      <c r="F86" s="87" t="s">
        <v>388</v>
      </c>
      <c r="H86" s="87" t="s">
        <v>388</v>
      </c>
      <c r="J86" s="87" t="s">
        <v>388</v>
      </c>
      <c r="L86" s="4">
        <v>75</v>
      </c>
      <c r="M86" s="4">
        <v>76</v>
      </c>
      <c r="N86" s="4">
        <v>72</v>
      </c>
      <c r="O86" s="4">
        <v>73</v>
      </c>
      <c r="P86" s="87" t="s">
        <v>388</v>
      </c>
      <c r="R86" s="87" t="s">
        <v>388</v>
      </c>
      <c r="T86" s="87" t="s">
        <v>388</v>
      </c>
      <c r="V86" s="87" t="s">
        <v>388</v>
      </c>
      <c r="X86" s="4">
        <v>78</v>
      </c>
      <c r="Y86" s="4">
        <v>78</v>
      </c>
      <c r="Z86" s="4">
        <v>73</v>
      </c>
      <c r="AA86" s="4">
        <v>73</v>
      </c>
      <c r="AB86" s="87" t="s">
        <v>388</v>
      </c>
      <c r="AD86" s="4">
        <v>81</v>
      </c>
      <c r="AE86" s="4">
        <v>81</v>
      </c>
      <c r="AF86" s="87" t="s">
        <v>388</v>
      </c>
      <c r="AH86" s="88" t="s">
        <v>388</v>
      </c>
      <c r="AJ86" s="87" t="s">
        <v>388</v>
      </c>
      <c r="AL86" s="87" t="s">
        <v>388</v>
      </c>
      <c r="AN86" s="4">
        <v>90</v>
      </c>
      <c r="AO86" s="4">
        <v>91</v>
      </c>
      <c r="AP86" s="4">
        <v>74</v>
      </c>
      <c r="AQ86" s="4">
        <v>74</v>
      </c>
      <c r="AR86" s="4">
        <v>72</v>
      </c>
      <c r="AS86" s="4">
        <v>72</v>
      </c>
      <c r="AT86" s="4">
        <v>74</v>
      </c>
      <c r="AU86" s="4">
        <v>74</v>
      </c>
      <c r="AV86" s="4">
        <v>73</v>
      </c>
      <c r="AW86" s="4">
        <v>73</v>
      </c>
      <c r="AX86" s="4">
        <v>89</v>
      </c>
      <c r="AY86" s="4">
        <v>92</v>
      </c>
      <c r="AZ86" s="87" t="s">
        <v>388</v>
      </c>
      <c r="BD86" s="3">
        <v>83</v>
      </c>
    </row>
    <row r="87" spans="2:56" ht="15.75">
      <c r="B87" s="3">
        <v>84</v>
      </c>
      <c r="D87" s="4">
        <v>78</v>
      </c>
      <c r="E87" s="4">
        <v>79</v>
      </c>
      <c r="F87" s="4">
        <v>89</v>
      </c>
      <c r="G87" s="4">
        <v>92</v>
      </c>
      <c r="H87" s="87" t="s">
        <v>388</v>
      </c>
      <c r="J87" s="4">
        <v>85</v>
      </c>
      <c r="K87" s="4">
        <v>87</v>
      </c>
      <c r="L87" s="4">
        <v>77</v>
      </c>
      <c r="M87" s="4">
        <v>77</v>
      </c>
      <c r="N87" s="87" t="s">
        <v>388</v>
      </c>
      <c r="P87" s="4">
        <v>74</v>
      </c>
      <c r="Q87" s="4">
        <v>74</v>
      </c>
      <c r="R87" s="4">
        <v>71</v>
      </c>
      <c r="S87" s="4">
        <v>71</v>
      </c>
      <c r="T87" s="87" t="s">
        <v>388</v>
      </c>
      <c r="V87" s="87" t="s">
        <v>388</v>
      </c>
      <c r="X87" s="87" t="s">
        <v>388</v>
      </c>
      <c r="Z87" s="4">
        <v>74</v>
      </c>
      <c r="AA87" s="4">
        <v>74</v>
      </c>
      <c r="AB87" s="87" t="s">
        <v>388</v>
      </c>
      <c r="AD87" s="4">
        <v>82</v>
      </c>
      <c r="AE87" s="4">
        <v>83</v>
      </c>
      <c r="AF87" s="4">
        <v>81</v>
      </c>
      <c r="AG87" s="4">
        <v>81</v>
      </c>
      <c r="AH87" s="6">
        <v>89</v>
      </c>
      <c r="AI87" s="4">
        <v>89</v>
      </c>
      <c r="AJ87" s="4">
        <v>80</v>
      </c>
      <c r="AK87" s="4">
        <v>82</v>
      </c>
      <c r="AL87" s="4">
        <v>75</v>
      </c>
      <c r="AM87" s="4">
        <v>78</v>
      </c>
      <c r="AN87" s="4">
        <v>92</v>
      </c>
      <c r="AO87" s="4">
        <v>93</v>
      </c>
      <c r="AP87" s="87" t="s">
        <v>388</v>
      </c>
      <c r="AR87" s="87" t="s">
        <v>388</v>
      </c>
      <c r="AT87" s="87" t="s">
        <v>388</v>
      </c>
      <c r="AV87" s="87" t="s">
        <v>388</v>
      </c>
      <c r="AX87" s="4">
        <v>93</v>
      </c>
      <c r="AY87" s="4">
        <v>93</v>
      </c>
      <c r="AZ87" s="87" t="s">
        <v>388</v>
      </c>
      <c r="BD87" s="3">
        <v>84</v>
      </c>
    </row>
    <row r="88" spans="2:56" ht="15.75">
      <c r="B88" s="3">
        <v>85</v>
      </c>
      <c r="D88" s="4">
        <v>80</v>
      </c>
      <c r="E88" s="4">
        <v>80</v>
      </c>
      <c r="F88" s="87" t="s">
        <v>388</v>
      </c>
      <c r="H88" s="4">
        <v>84</v>
      </c>
      <c r="I88" s="4">
        <v>84</v>
      </c>
      <c r="J88" s="87" t="s">
        <v>388</v>
      </c>
      <c r="L88" s="87" t="s">
        <v>388</v>
      </c>
      <c r="N88" s="87" t="s">
        <v>388</v>
      </c>
      <c r="P88" s="87" t="s">
        <v>388</v>
      </c>
      <c r="R88" s="4">
        <v>72</v>
      </c>
      <c r="S88" s="4">
        <v>72</v>
      </c>
      <c r="T88" s="4">
        <v>70</v>
      </c>
      <c r="U88" s="4">
        <v>70</v>
      </c>
      <c r="V88" s="4">
        <v>75</v>
      </c>
      <c r="W88" s="4">
        <v>78</v>
      </c>
      <c r="X88" s="4">
        <v>79</v>
      </c>
      <c r="Y88" s="4">
        <v>79</v>
      </c>
      <c r="Z88" s="4">
        <v>75</v>
      </c>
      <c r="AA88" s="4">
        <v>75</v>
      </c>
      <c r="AB88" s="4">
        <v>74</v>
      </c>
      <c r="AC88" s="4">
        <v>74</v>
      </c>
      <c r="AD88" s="87" t="s">
        <v>388</v>
      </c>
      <c r="AF88" s="87" t="s">
        <v>388</v>
      </c>
      <c r="AH88" s="88" t="s">
        <v>388</v>
      </c>
      <c r="AJ88" s="4">
        <v>83</v>
      </c>
      <c r="AK88" s="4">
        <v>83</v>
      </c>
      <c r="AL88" s="87" t="s">
        <v>388</v>
      </c>
      <c r="AN88" s="87" t="s">
        <v>388</v>
      </c>
      <c r="AP88" s="87" t="s">
        <v>388</v>
      </c>
      <c r="AR88" s="4">
        <v>73</v>
      </c>
      <c r="AS88" s="4">
        <v>74</v>
      </c>
      <c r="AT88" s="4">
        <v>75</v>
      </c>
      <c r="AU88" s="4">
        <v>76</v>
      </c>
      <c r="AV88" s="4">
        <v>74</v>
      </c>
      <c r="AW88" s="4">
        <v>74</v>
      </c>
      <c r="AX88" s="87" t="s">
        <v>388</v>
      </c>
      <c r="AZ88" s="4">
        <v>71</v>
      </c>
      <c r="BA88" s="4">
        <v>71</v>
      </c>
      <c r="BD88" s="3">
        <v>85</v>
      </c>
    </row>
    <row r="89" spans="2:56" ht="15.75">
      <c r="B89" s="3">
        <v>86</v>
      </c>
      <c r="D89" s="87" t="s">
        <v>388</v>
      </c>
      <c r="F89" s="4">
        <v>93</v>
      </c>
      <c r="G89" s="4">
        <v>93</v>
      </c>
      <c r="H89" s="4">
        <v>85</v>
      </c>
      <c r="I89" s="4">
        <v>86</v>
      </c>
      <c r="J89" s="4">
        <v>88</v>
      </c>
      <c r="K89" s="4">
        <v>88</v>
      </c>
      <c r="L89" s="87" t="s">
        <v>388</v>
      </c>
      <c r="N89" s="87" t="s">
        <v>388</v>
      </c>
      <c r="P89" s="87" t="s">
        <v>388</v>
      </c>
      <c r="R89" s="87" t="s">
        <v>388</v>
      </c>
      <c r="T89" s="87" t="s">
        <v>388</v>
      </c>
      <c r="V89" s="87" t="s">
        <v>388</v>
      </c>
      <c r="X89" s="4">
        <v>80</v>
      </c>
      <c r="Y89" s="4">
        <v>80</v>
      </c>
      <c r="Z89" s="4">
        <v>76</v>
      </c>
      <c r="AA89" s="4">
        <v>76</v>
      </c>
      <c r="AB89" s="4">
        <v>75</v>
      </c>
      <c r="AC89" s="4">
        <v>76</v>
      </c>
      <c r="AD89" s="4">
        <v>84</v>
      </c>
      <c r="AE89" s="4">
        <v>84</v>
      </c>
      <c r="AF89" s="4">
        <v>82</v>
      </c>
      <c r="AG89" s="4">
        <v>83</v>
      </c>
      <c r="AH89" s="6">
        <v>90</v>
      </c>
      <c r="AI89" s="4">
        <v>92</v>
      </c>
      <c r="AJ89" s="87" t="s">
        <v>388</v>
      </c>
      <c r="AL89" s="4">
        <v>79</v>
      </c>
      <c r="AM89" s="4">
        <v>79</v>
      </c>
      <c r="AN89" s="4">
        <v>94</v>
      </c>
      <c r="AP89" s="4">
        <v>75</v>
      </c>
      <c r="AQ89" s="4">
        <v>80</v>
      </c>
      <c r="AR89" s="87" t="s">
        <v>388</v>
      </c>
      <c r="AT89" s="4">
        <v>77</v>
      </c>
      <c r="AU89" s="4">
        <v>78</v>
      </c>
      <c r="AV89" s="4">
        <v>75</v>
      </c>
      <c r="AW89" s="4">
        <v>78</v>
      </c>
      <c r="AX89" s="4">
        <v>94</v>
      </c>
      <c r="AY89" s="4">
        <v>96</v>
      </c>
      <c r="AZ89" s="87" t="s">
        <v>388</v>
      </c>
      <c r="BD89" s="3">
        <v>86</v>
      </c>
    </row>
    <row r="90" spans="2:56" ht="15.75">
      <c r="B90" s="3">
        <v>87</v>
      </c>
      <c r="D90" s="4">
        <v>81</v>
      </c>
      <c r="E90" s="4">
        <v>81</v>
      </c>
      <c r="F90" s="87" t="s">
        <v>388</v>
      </c>
      <c r="H90" s="4">
        <v>87</v>
      </c>
      <c r="I90" s="4">
        <v>89</v>
      </c>
      <c r="J90" s="87" t="s">
        <v>388</v>
      </c>
      <c r="L90" s="4">
        <v>78</v>
      </c>
      <c r="M90" s="4">
        <v>78</v>
      </c>
      <c r="N90" s="4">
        <v>74</v>
      </c>
      <c r="O90" s="4">
        <v>74</v>
      </c>
      <c r="P90" s="4">
        <v>75</v>
      </c>
      <c r="Q90" s="4">
        <v>76</v>
      </c>
      <c r="R90" s="4">
        <v>73</v>
      </c>
      <c r="S90" s="4">
        <v>73</v>
      </c>
      <c r="T90" s="4">
        <v>71</v>
      </c>
      <c r="U90" s="4">
        <v>71</v>
      </c>
      <c r="V90" s="4">
        <v>79</v>
      </c>
      <c r="W90" s="4">
        <v>79</v>
      </c>
      <c r="X90" s="4">
        <v>81</v>
      </c>
      <c r="Y90" s="4">
        <v>81</v>
      </c>
      <c r="Z90" s="4">
        <v>77</v>
      </c>
      <c r="AA90" s="4">
        <v>77</v>
      </c>
      <c r="AB90" s="4">
        <v>77</v>
      </c>
      <c r="AC90" s="4">
        <v>77</v>
      </c>
      <c r="AD90" s="4">
        <v>85</v>
      </c>
      <c r="AE90" s="4">
        <v>86</v>
      </c>
      <c r="AF90" s="87" t="s">
        <v>388</v>
      </c>
      <c r="AH90" s="6">
        <v>93</v>
      </c>
      <c r="AI90" s="4">
        <v>93</v>
      </c>
      <c r="AJ90" s="87" t="s">
        <v>388</v>
      </c>
      <c r="AL90" s="87" t="s">
        <v>388</v>
      </c>
      <c r="AN90" s="4">
        <v>95</v>
      </c>
      <c r="AO90" s="4">
        <v>98</v>
      </c>
      <c r="AP90" s="4">
        <v>81</v>
      </c>
      <c r="AQ90" s="4">
        <v>82</v>
      </c>
      <c r="AR90" s="4">
        <v>75</v>
      </c>
      <c r="AS90" s="4">
        <v>77</v>
      </c>
      <c r="AT90" s="87" t="s">
        <v>388</v>
      </c>
      <c r="AV90" s="87" t="s">
        <v>388</v>
      </c>
      <c r="AX90" s="87" t="s">
        <v>388</v>
      </c>
      <c r="AZ90" s="4">
        <v>72</v>
      </c>
      <c r="BA90" s="4">
        <v>72</v>
      </c>
      <c r="BD90" s="3">
        <v>87</v>
      </c>
    </row>
    <row r="91" spans="2:56" ht="15.75">
      <c r="B91" s="3">
        <v>88</v>
      </c>
      <c r="D91" s="4">
        <v>82</v>
      </c>
      <c r="E91" s="4">
        <v>83</v>
      </c>
      <c r="F91" s="4">
        <v>94</v>
      </c>
      <c r="G91" s="4">
        <v>96</v>
      </c>
      <c r="H91" s="4">
        <v>90</v>
      </c>
      <c r="I91" s="4">
        <v>90</v>
      </c>
      <c r="J91" s="4">
        <v>89</v>
      </c>
      <c r="K91" s="4">
        <v>92</v>
      </c>
      <c r="L91" s="4">
        <v>79</v>
      </c>
      <c r="M91" s="4">
        <v>79</v>
      </c>
      <c r="N91" s="87" t="s">
        <v>388</v>
      </c>
      <c r="P91" s="4">
        <v>77</v>
      </c>
      <c r="Q91" s="4">
        <v>77</v>
      </c>
      <c r="R91" s="87" t="s">
        <v>388</v>
      </c>
      <c r="T91" s="87" t="s">
        <v>388</v>
      </c>
      <c r="V91" s="87" t="s">
        <v>388</v>
      </c>
      <c r="X91" s="4">
        <v>82</v>
      </c>
      <c r="Y91" s="4">
        <v>82</v>
      </c>
      <c r="Z91" s="4">
        <v>78</v>
      </c>
      <c r="AA91" s="4">
        <v>78</v>
      </c>
      <c r="AB91" s="4">
        <v>78</v>
      </c>
      <c r="AC91" s="4">
        <v>79</v>
      </c>
      <c r="AD91" s="4">
        <v>87</v>
      </c>
      <c r="AE91" s="4">
        <v>87</v>
      </c>
      <c r="AF91" s="4">
        <v>84</v>
      </c>
      <c r="AG91" s="4">
        <v>84</v>
      </c>
      <c r="AH91" s="6">
        <v>94</v>
      </c>
      <c r="AI91" s="4">
        <v>94</v>
      </c>
      <c r="AJ91" s="4">
        <v>84</v>
      </c>
      <c r="AK91" s="4">
        <v>84</v>
      </c>
      <c r="AL91" s="87" t="s">
        <v>388</v>
      </c>
      <c r="AN91" s="87" t="s">
        <v>388</v>
      </c>
      <c r="AP91" s="4">
        <v>83</v>
      </c>
      <c r="AQ91" s="4">
        <v>84</v>
      </c>
      <c r="AR91" s="4">
        <v>78</v>
      </c>
      <c r="AS91" s="4">
        <v>80</v>
      </c>
      <c r="AT91" s="4">
        <v>79</v>
      </c>
      <c r="AU91" s="4">
        <v>79</v>
      </c>
      <c r="AV91" s="4">
        <v>79</v>
      </c>
      <c r="AW91" s="4">
        <v>79</v>
      </c>
      <c r="AX91" s="4">
        <v>97</v>
      </c>
      <c r="AY91" s="4">
        <v>97</v>
      </c>
      <c r="AZ91" s="4">
        <v>73</v>
      </c>
      <c r="BA91" s="4">
        <v>73</v>
      </c>
      <c r="BD91" s="3">
        <v>88</v>
      </c>
    </row>
    <row r="92" spans="2:56" ht="15.75">
      <c r="B92" s="3">
        <v>89</v>
      </c>
      <c r="D92" s="4">
        <v>84</v>
      </c>
      <c r="E92" s="4">
        <v>84</v>
      </c>
      <c r="F92" s="87" t="s">
        <v>388</v>
      </c>
      <c r="H92" s="4">
        <v>91</v>
      </c>
      <c r="I92" s="4">
        <v>95</v>
      </c>
      <c r="J92" s="87" t="s">
        <v>388</v>
      </c>
      <c r="L92" s="87" t="s">
        <v>388</v>
      </c>
      <c r="N92" s="87" t="s">
        <v>388</v>
      </c>
      <c r="P92" s="87" t="s">
        <v>388</v>
      </c>
      <c r="R92" s="4">
        <v>74</v>
      </c>
      <c r="S92" s="4">
        <v>74</v>
      </c>
      <c r="T92" s="87" t="s">
        <v>388</v>
      </c>
      <c r="V92" s="87" t="s">
        <v>388</v>
      </c>
      <c r="X92" s="4">
        <v>83</v>
      </c>
      <c r="Y92" s="4">
        <v>83</v>
      </c>
      <c r="Z92" s="87" t="s">
        <v>388</v>
      </c>
      <c r="AB92" s="4">
        <v>80</v>
      </c>
      <c r="AC92" s="4">
        <v>80</v>
      </c>
      <c r="AD92" s="4">
        <v>88</v>
      </c>
      <c r="AE92" s="4">
        <v>88</v>
      </c>
      <c r="AF92" s="4">
        <v>85</v>
      </c>
      <c r="AG92" s="4">
        <v>86</v>
      </c>
      <c r="AH92" s="88" t="s">
        <v>388</v>
      </c>
      <c r="AJ92" s="87" t="s">
        <v>388</v>
      </c>
      <c r="AL92" s="4">
        <v>80</v>
      </c>
      <c r="AM92" s="4">
        <v>81</v>
      </c>
      <c r="AN92" s="4">
        <v>99</v>
      </c>
      <c r="AO92" s="4">
        <v>99</v>
      </c>
      <c r="AP92" s="87" t="s">
        <v>388</v>
      </c>
      <c r="AR92" s="4">
        <v>81</v>
      </c>
      <c r="AS92" s="4">
        <v>83</v>
      </c>
      <c r="AT92" s="4">
        <v>80</v>
      </c>
      <c r="AU92" s="4">
        <v>83</v>
      </c>
      <c r="AV92" s="4">
        <v>80</v>
      </c>
      <c r="AW92" s="4">
        <v>83</v>
      </c>
      <c r="AX92" s="4">
        <v>98</v>
      </c>
      <c r="AY92" s="4">
        <v>99</v>
      </c>
      <c r="AZ92" s="87" t="s">
        <v>388</v>
      </c>
      <c r="BD92" s="3">
        <v>89</v>
      </c>
    </row>
    <row r="93" spans="2:56" ht="15.75">
      <c r="B93" s="3">
        <v>90</v>
      </c>
      <c r="D93" s="87" t="s">
        <v>388</v>
      </c>
      <c r="F93" s="4">
        <v>97</v>
      </c>
      <c r="G93" s="4">
        <v>97</v>
      </c>
      <c r="H93" s="87" t="s">
        <v>388</v>
      </c>
      <c r="J93" s="4">
        <v>93</v>
      </c>
      <c r="K93" s="4">
        <v>93</v>
      </c>
      <c r="L93" s="87" t="s">
        <v>388</v>
      </c>
      <c r="N93" s="4">
        <v>75</v>
      </c>
      <c r="O93" s="4">
        <v>78</v>
      </c>
      <c r="P93" s="4">
        <v>78</v>
      </c>
      <c r="Q93" s="4">
        <v>78</v>
      </c>
      <c r="R93" s="4">
        <v>75</v>
      </c>
      <c r="S93" s="4">
        <v>76</v>
      </c>
      <c r="T93" s="4">
        <v>72</v>
      </c>
      <c r="U93" s="4">
        <v>72</v>
      </c>
      <c r="V93" s="87" t="s">
        <v>388</v>
      </c>
      <c r="X93" s="87" t="s">
        <v>388</v>
      </c>
      <c r="Z93" s="4">
        <v>79</v>
      </c>
      <c r="AA93" s="4">
        <v>79</v>
      </c>
      <c r="AB93" s="4">
        <v>81</v>
      </c>
      <c r="AC93" s="4">
        <v>81</v>
      </c>
      <c r="AD93" s="4">
        <v>89</v>
      </c>
      <c r="AE93" s="4">
        <v>91</v>
      </c>
      <c r="AF93" s="87" t="s">
        <v>388</v>
      </c>
      <c r="AH93" s="88" t="s">
        <v>388</v>
      </c>
      <c r="AJ93" s="4">
        <v>85</v>
      </c>
      <c r="AK93" s="4">
        <v>92</v>
      </c>
      <c r="AL93" s="4">
        <v>82</v>
      </c>
      <c r="AM93" s="4">
        <v>83</v>
      </c>
      <c r="AN93" s="4">
        <v>100</v>
      </c>
      <c r="AO93" s="4">
        <v>103</v>
      </c>
      <c r="AP93" s="87" t="s">
        <v>388</v>
      </c>
      <c r="AR93" s="4">
        <v>84</v>
      </c>
      <c r="AS93" s="4">
        <v>84</v>
      </c>
      <c r="AT93" s="87" t="s">
        <v>388</v>
      </c>
      <c r="AV93" s="4">
        <v>84</v>
      </c>
      <c r="AW93" s="4">
        <v>84</v>
      </c>
      <c r="AX93" s="4">
        <v>100</v>
      </c>
      <c r="AY93" s="4">
        <v>100</v>
      </c>
      <c r="AZ93" s="4">
        <v>74</v>
      </c>
      <c r="BA93" s="4">
        <v>74</v>
      </c>
      <c r="BD93" s="3">
        <v>90</v>
      </c>
    </row>
    <row r="94" spans="2:56" ht="15.75">
      <c r="B94" s="3">
        <v>91</v>
      </c>
      <c r="D94" s="4">
        <v>85</v>
      </c>
      <c r="E94" s="4">
        <v>89</v>
      </c>
      <c r="F94" s="4">
        <v>98</v>
      </c>
      <c r="G94" s="4">
        <v>99</v>
      </c>
      <c r="H94" s="4">
        <v>96</v>
      </c>
      <c r="I94" s="4">
        <v>98</v>
      </c>
      <c r="J94" s="87" t="s">
        <v>388</v>
      </c>
      <c r="L94" s="4">
        <v>80</v>
      </c>
      <c r="M94" s="4">
        <v>82</v>
      </c>
      <c r="N94" s="4">
        <v>79</v>
      </c>
      <c r="O94" s="4">
        <v>79</v>
      </c>
      <c r="P94" s="4">
        <v>79</v>
      </c>
      <c r="Q94" s="4">
        <v>79</v>
      </c>
      <c r="R94" s="4">
        <v>77</v>
      </c>
      <c r="S94" s="4">
        <v>77</v>
      </c>
      <c r="T94" s="87" t="s">
        <v>388</v>
      </c>
      <c r="V94" s="87" t="s">
        <v>388</v>
      </c>
      <c r="X94" s="4">
        <v>84</v>
      </c>
      <c r="Y94" s="4">
        <v>84</v>
      </c>
      <c r="Z94" s="4">
        <v>80</v>
      </c>
      <c r="AA94" s="4">
        <v>81</v>
      </c>
      <c r="AB94" s="4">
        <v>82</v>
      </c>
      <c r="AC94" s="4">
        <v>83</v>
      </c>
      <c r="AD94" s="87" t="s">
        <v>388</v>
      </c>
      <c r="AF94" s="4">
        <v>87</v>
      </c>
      <c r="AG94" s="4">
        <v>87</v>
      </c>
      <c r="AH94" s="6">
        <v>95</v>
      </c>
      <c r="AI94" s="4">
        <v>98</v>
      </c>
      <c r="AJ94" s="4">
        <v>93</v>
      </c>
      <c r="AK94" s="4">
        <v>93</v>
      </c>
      <c r="AL94" s="4">
        <v>84</v>
      </c>
      <c r="AM94" s="4">
        <v>84</v>
      </c>
      <c r="AN94" s="87" t="s">
        <v>388</v>
      </c>
      <c r="AP94" s="4">
        <v>85</v>
      </c>
      <c r="AQ94" s="4">
        <v>86</v>
      </c>
      <c r="AR94" s="87" t="s">
        <v>388</v>
      </c>
      <c r="AT94" s="4">
        <v>84</v>
      </c>
      <c r="AU94" s="4">
        <v>84</v>
      </c>
      <c r="AV94" s="4">
        <v>85</v>
      </c>
      <c r="AW94" s="4">
        <v>87</v>
      </c>
      <c r="AX94" s="4">
        <v>101</v>
      </c>
      <c r="AY94" s="4">
        <v>101</v>
      </c>
      <c r="AZ94" s="4">
        <v>75</v>
      </c>
      <c r="BA94" s="4">
        <v>76</v>
      </c>
      <c r="BD94" s="3">
        <v>91</v>
      </c>
    </row>
    <row r="95" spans="2:56" ht="15.75">
      <c r="B95" s="3">
        <v>92</v>
      </c>
      <c r="D95" s="87" t="s">
        <v>388</v>
      </c>
      <c r="F95" s="4">
        <v>100</v>
      </c>
      <c r="G95" s="4">
        <v>101</v>
      </c>
      <c r="H95" s="4">
        <v>99</v>
      </c>
      <c r="I95" s="4">
        <v>101</v>
      </c>
      <c r="J95" s="87" t="s">
        <v>388</v>
      </c>
      <c r="L95" s="87" t="s">
        <v>388</v>
      </c>
      <c r="N95" s="87" t="s">
        <v>388</v>
      </c>
      <c r="P95" s="4">
        <v>80</v>
      </c>
      <c r="Q95" s="4">
        <v>81</v>
      </c>
      <c r="R95" s="4">
        <v>78</v>
      </c>
      <c r="S95" s="4">
        <v>80</v>
      </c>
      <c r="T95" s="4">
        <v>73</v>
      </c>
      <c r="U95" s="4">
        <v>73</v>
      </c>
      <c r="V95" s="87" t="s">
        <v>388</v>
      </c>
      <c r="X95" s="4">
        <v>85</v>
      </c>
      <c r="Y95" s="4">
        <v>85</v>
      </c>
      <c r="Z95" s="87" t="s">
        <v>388</v>
      </c>
      <c r="AB95" s="4">
        <v>84</v>
      </c>
      <c r="AC95" s="4">
        <v>86</v>
      </c>
      <c r="AD95" s="4">
        <v>92</v>
      </c>
      <c r="AE95" s="4">
        <v>93</v>
      </c>
      <c r="AF95" s="4">
        <v>88</v>
      </c>
      <c r="AG95" s="4">
        <v>89</v>
      </c>
      <c r="AH95" s="88" t="s">
        <v>388</v>
      </c>
      <c r="AJ95" s="87" t="s">
        <v>388</v>
      </c>
      <c r="AL95" s="87" t="s">
        <v>388</v>
      </c>
      <c r="AN95" s="4">
        <v>104</v>
      </c>
      <c r="AO95" s="4">
        <v>104</v>
      </c>
      <c r="AP95" s="4">
        <v>87</v>
      </c>
      <c r="AQ95" s="4">
        <v>87</v>
      </c>
      <c r="AR95" s="4">
        <v>85</v>
      </c>
      <c r="AS95" s="4">
        <v>89</v>
      </c>
      <c r="AT95" s="4">
        <v>85</v>
      </c>
      <c r="AU95" s="4">
        <v>89</v>
      </c>
      <c r="AV95" s="87" t="s">
        <v>388</v>
      </c>
      <c r="AX95" s="87" t="s">
        <v>388</v>
      </c>
      <c r="AZ95" s="4">
        <v>77</v>
      </c>
      <c r="BA95" s="4">
        <v>78</v>
      </c>
      <c r="BD95" s="3">
        <v>92</v>
      </c>
    </row>
    <row r="96" spans="2:56" ht="15.75">
      <c r="B96" s="3">
        <v>93</v>
      </c>
      <c r="D96" s="4">
        <v>90</v>
      </c>
      <c r="E96" s="4">
        <v>90</v>
      </c>
      <c r="F96" s="87" t="s">
        <v>388</v>
      </c>
      <c r="H96" s="87" t="s">
        <v>388</v>
      </c>
      <c r="J96" s="4">
        <v>94</v>
      </c>
      <c r="K96" s="4">
        <v>96</v>
      </c>
      <c r="L96" s="4">
        <v>83</v>
      </c>
      <c r="M96" s="4">
        <v>83</v>
      </c>
      <c r="N96" s="4">
        <v>80</v>
      </c>
      <c r="O96" s="4">
        <v>80</v>
      </c>
      <c r="P96" s="4">
        <v>82</v>
      </c>
      <c r="Q96" s="4">
        <v>82</v>
      </c>
      <c r="R96" s="4">
        <v>81</v>
      </c>
      <c r="S96" s="4">
        <v>81</v>
      </c>
      <c r="T96" s="4">
        <v>74</v>
      </c>
      <c r="U96" s="4">
        <v>75</v>
      </c>
      <c r="V96" s="87" t="s">
        <v>388</v>
      </c>
      <c r="X96" s="4">
        <v>86</v>
      </c>
      <c r="Y96" s="4">
        <v>88</v>
      </c>
      <c r="Z96" s="4">
        <v>82</v>
      </c>
      <c r="AA96" s="4">
        <v>83</v>
      </c>
      <c r="AB96" s="4">
        <v>87</v>
      </c>
      <c r="AC96" s="4">
        <v>88</v>
      </c>
      <c r="AD96" s="4">
        <v>94</v>
      </c>
      <c r="AE96" s="4">
        <v>94</v>
      </c>
      <c r="AF96" s="4">
        <v>90</v>
      </c>
      <c r="AG96" s="4">
        <v>90</v>
      </c>
      <c r="AH96" s="88" t="s">
        <v>388</v>
      </c>
      <c r="AJ96" s="4">
        <v>94</v>
      </c>
      <c r="AK96" s="4">
        <v>94</v>
      </c>
      <c r="AL96" s="4">
        <v>85</v>
      </c>
      <c r="AM96" s="4">
        <v>87</v>
      </c>
      <c r="AN96" s="4">
        <v>105</v>
      </c>
      <c r="AO96" s="4">
        <v>107</v>
      </c>
      <c r="AP96" s="4">
        <v>88</v>
      </c>
      <c r="AQ96" s="4">
        <v>90</v>
      </c>
      <c r="AR96" s="4">
        <v>90</v>
      </c>
      <c r="AS96" s="4">
        <v>93</v>
      </c>
      <c r="AT96" s="4">
        <v>90</v>
      </c>
      <c r="AU96" s="4">
        <v>91</v>
      </c>
      <c r="AV96" s="4">
        <v>88</v>
      </c>
      <c r="AW96" s="4">
        <v>89</v>
      </c>
      <c r="AX96" s="4">
        <v>102</v>
      </c>
      <c r="AY96" s="4">
        <v>102</v>
      </c>
      <c r="AZ96" s="4">
        <v>79</v>
      </c>
      <c r="BA96" s="4">
        <v>79</v>
      </c>
      <c r="BD96" s="3">
        <v>93</v>
      </c>
    </row>
    <row r="97" spans="2:56" ht="15.75">
      <c r="B97" s="3">
        <v>94</v>
      </c>
      <c r="D97" s="4">
        <v>91</v>
      </c>
      <c r="E97" s="4">
        <v>95</v>
      </c>
      <c r="F97" s="4">
        <v>102</v>
      </c>
      <c r="G97" s="4">
        <v>104</v>
      </c>
      <c r="H97" s="4">
        <v>102</v>
      </c>
      <c r="I97" s="4">
        <v>104</v>
      </c>
      <c r="J97" s="4">
        <v>97</v>
      </c>
      <c r="K97" s="4">
        <v>97</v>
      </c>
      <c r="L97" s="4">
        <v>84</v>
      </c>
      <c r="M97" s="4">
        <v>84</v>
      </c>
      <c r="N97" s="4">
        <v>81</v>
      </c>
      <c r="O97" s="4">
        <v>84</v>
      </c>
      <c r="P97" s="4">
        <v>83</v>
      </c>
      <c r="Q97" s="4">
        <v>83</v>
      </c>
      <c r="R97" s="4">
        <v>82</v>
      </c>
      <c r="S97" s="4">
        <v>83</v>
      </c>
      <c r="T97" s="4">
        <v>76</v>
      </c>
      <c r="U97" s="4">
        <v>76</v>
      </c>
      <c r="V97" s="87" t="s">
        <v>388</v>
      </c>
      <c r="X97" s="87" t="s">
        <v>388</v>
      </c>
      <c r="Z97" s="4">
        <v>84</v>
      </c>
      <c r="AA97" s="4">
        <v>87</v>
      </c>
      <c r="AB97" s="87" t="s">
        <v>388</v>
      </c>
      <c r="AD97" s="4">
        <v>95</v>
      </c>
      <c r="AE97" s="4">
        <v>97</v>
      </c>
      <c r="AF97" s="4">
        <v>91</v>
      </c>
      <c r="AG97" s="4">
        <v>92</v>
      </c>
      <c r="AH97" s="6">
        <v>99</v>
      </c>
      <c r="AI97" s="4">
        <v>101</v>
      </c>
      <c r="AJ97" s="4">
        <v>95</v>
      </c>
      <c r="AK97" s="4">
        <v>101</v>
      </c>
      <c r="AL97" s="4">
        <v>88</v>
      </c>
      <c r="AM97" s="4">
        <v>88</v>
      </c>
      <c r="AN97" s="4">
        <v>108</v>
      </c>
      <c r="AO97" s="4">
        <v>108</v>
      </c>
      <c r="AP97" s="4">
        <v>91</v>
      </c>
      <c r="AQ97" s="4">
        <v>91</v>
      </c>
      <c r="AR97" s="4">
        <v>94</v>
      </c>
      <c r="AS97" s="4">
        <v>94</v>
      </c>
      <c r="AT97" s="87" t="s">
        <v>388</v>
      </c>
      <c r="AV97" s="4">
        <v>90</v>
      </c>
      <c r="AW97" s="4">
        <v>91</v>
      </c>
      <c r="AX97" s="4">
        <v>103</v>
      </c>
      <c r="AY97" s="4">
        <v>104</v>
      </c>
      <c r="AZ97" s="4">
        <v>80</v>
      </c>
      <c r="BA97" s="4">
        <v>81</v>
      </c>
      <c r="BD97" s="3">
        <v>94</v>
      </c>
    </row>
    <row r="98" spans="2:56" ht="15.75">
      <c r="B98" s="3">
        <v>95</v>
      </c>
      <c r="D98" s="4">
        <v>96</v>
      </c>
      <c r="E98" s="4">
        <v>96</v>
      </c>
      <c r="F98" s="4">
        <v>105</v>
      </c>
      <c r="G98" s="4">
        <v>105</v>
      </c>
      <c r="H98" s="4">
        <v>105</v>
      </c>
      <c r="I98" s="4">
        <v>107</v>
      </c>
      <c r="J98" s="87" t="s">
        <v>388</v>
      </c>
      <c r="L98" s="4">
        <v>85</v>
      </c>
      <c r="M98" s="4">
        <v>87</v>
      </c>
      <c r="N98" s="87" t="s">
        <v>388</v>
      </c>
      <c r="P98" s="4">
        <v>84</v>
      </c>
      <c r="Q98" s="4">
        <v>86</v>
      </c>
      <c r="R98" s="4">
        <v>84</v>
      </c>
      <c r="S98" s="4">
        <v>84</v>
      </c>
      <c r="T98" s="4">
        <v>77</v>
      </c>
      <c r="U98" s="4">
        <v>77</v>
      </c>
      <c r="V98" s="87" t="s">
        <v>388</v>
      </c>
      <c r="X98" s="4">
        <v>89</v>
      </c>
      <c r="Y98" s="4">
        <v>89</v>
      </c>
      <c r="Z98" s="4">
        <v>88</v>
      </c>
      <c r="AA98" s="4">
        <v>91</v>
      </c>
      <c r="AB98" s="4">
        <v>89</v>
      </c>
      <c r="AC98" s="4">
        <v>91</v>
      </c>
      <c r="AD98" s="4">
        <v>98</v>
      </c>
      <c r="AE98" s="4">
        <v>98</v>
      </c>
      <c r="AF98" s="4">
        <v>93</v>
      </c>
      <c r="AG98" s="4">
        <v>94</v>
      </c>
      <c r="AH98" s="6">
        <v>102</v>
      </c>
      <c r="AI98" s="4">
        <v>108</v>
      </c>
      <c r="AJ98" s="4">
        <v>102</v>
      </c>
      <c r="AK98" s="4">
        <v>108</v>
      </c>
      <c r="AL98" s="4">
        <v>89</v>
      </c>
      <c r="AM98" s="4">
        <v>89</v>
      </c>
      <c r="AN98" s="87" t="s">
        <v>388</v>
      </c>
      <c r="AP98" s="4">
        <v>92</v>
      </c>
      <c r="AQ98" s="4">
        <v>93</v>
      </c>
      <c r="AR98" s="4">
        <v>95</v>
      </c>
      <c r="AS98" s="4">
        <v>98</v>
      </c>
      <c r="AT98" s="4">
        <v>92</v>
      </c>
      <c r="AU98" s="4">
        <v>92</v>
      </c>
      <c r="AV98" s="4">
        <v>92</v>
      </c>
      <c r="AW98" s="4">
        <v>92</v>
      </c>
      <c r="AX98" s="87" t="s">
        <v>388</v>
      </c>
      <c r="AZ98" s="4">
        <v>82</v>
      </c>
      <c r="BA98" s="4">
        <v>83</v>
      </c>
      <c r="BD98" s="3">
        <v>95</v>
      </c>
    </row>
    <row r="99" spans="2:56" ht="15.75">
      <c r="B99" s="3">
        <v>96</v>
      </c>
      <c r="D99" s="4">
        <v>97</v>
      </c>
      <c r="E99" s="4">
        <v>101</v>
      </c>
      <c r="F99" s="4">
        <v>106</v>
      </c>
      <c r="G99" s="4">
        <v>109</v>
      </c>
      <c r="H99" s="4">
        <v>108</v>
      </c>
      <c r="I99" s="4">
        <v>108</v>
      </c>
      <c r="J99" s="4">
        <v>98</v>
      </c>
      <c r="K99" s="4">
        <v>101</v>
      </c>
      <c r="L99" s="87" t="s">
        <v>388</v>
      </c>
      <c r="N99" s="87" t="s">
        <v>388</v>
      </c>
      <c r="P99" s="4">
        <v>87</v>
      </c>
      <c r="Q99" s="4">
        <v>89</v>
      </c>
      <c r="R99" s="4">
        <v>85</v>
      </c>
      <c r="S99" s="4">
        <v>87</v>
      </c>
      <c r="T99" s="4">
        <v>78</v>
      </c>
      <c r="U99" s="4">
        <v>80</v>
      </c>
      <c r="V99" s="4">
        <v>80</v>
      </c>
      <c r="W99" s="4">
        <v>84</v>
      </c>
      <c r="X99" s="4">
        <v>90</v>
      </c>
      <c r="Y99" s="4">
        <v>93</v>
      </c>
      <c r="Z99" s="4">
        <v>92</v>
      </c>
      <c r="AA99" s="4">
        <v>94</v>
      </c>
      <c r="AB99" s="4">
        <v>92</v>
      </c>
      <c r="AC99" s="4">
        <v>93</v>
      </c>
      <c r="AD99" s="4">
        <v>99</v>
      </c>
      <c r="AE99" s="4">
        <v>102</v>
      </c>
      <c r="AF99" s="87" t="s">
        <v>388</v>
      </c>
      <c r="AH99" s="88" t="s">
        <v>388</v>
      </c>
      <c r="AJ99" s="4">
        <v>104</v>
      </c>
      <c r="AK99" s="4">
        <v>104</v>
      </c>
      <c r="AL99" s="4">
        <v>90</v>
      </c>
      <c r="AM99" s="4">
        <v>92</v>
      </c>
      <c r="AN99" s="4">
        <v>109</v>
      </c>
      <c r="AO99" s="4">
        <v>109</v>
      </c>
      <c r="AP99" s="4">
        <v>94</v>
      </c>
      <c r="AQ99" s="4">
        <v>97</v>
      </c>
      <c r="AR99" s="4">
        <v>99</v>
      </c>
      <c r="AS99" s="4">
        <v>101</v>
      </c>
      <c r="AT99" s="4">
        <v>93</v>
      </c>
      <c r="AU99" s="4">
        <v>95</v>
      </c>
      <c r="AV99" s="4">
        <v>93</v>
      </c>
      <c r="AW99" s="4">
        <v>94</v>
      </c>
      <c r="AX99" s="4">
        <v>105</v>
      </c>
      <c r="AY99" s="4">
        <v>107</v>
      </c>
      <c r="AZ99" s="4">
        <v>84</v>
      </c>
      <c r="BA99" s="4">
        <v>87</v>
      </c>
      <c r="BD99" s="3">
        <v>96</v>
      </c>
    </row>
    <row r="100" spans="2:56" ht="15.75">
      <c r="B100" s="3">
        <v>97</v>
      </c>
      <c r="D100" s="87" t="s">
        <v>388</v>
      </c>
      <c r="F100" s="87" t="s">
        <v>388</v>
      </c>
      <c r="H100" s="4">
        <v>109</v>
      </c>
      <c r="I100" s="4">
        <v>110</v>
      </c>
      <c r="J100" s="4">
        <v>102</v>
      </c>
      <c r="K100" s="4">
        <v>104</v>
      </c>
      <c r="L100" s="87" t="s">
        <v>388</v>
      </c>
      <c r="N100" s="4">
        <v>85</v>
      </c>
      <c r="O100" s="4">
        <v>92</v>
      </c>
      <c r="P100" s="4">
        <v>90</v>
      </c>
      <c r="Q100" s="4">
        <v>92</v>
      </c>
      <c r="R100" s="4">
        <v>88</v>
      </c>
      <c r="S100" s="4">
        <v>91</v>
      </c>
      <c r="T100" s="4">
        <v>81</v>
      </c>
      <c r="U100" s="4">
        <v>81</v>
      </c>
      <c r="V100" s="4">
        <v>85</v>
      </c>
      <c r="W100" s="4">
        <v>95</v>
      </c>
      <c r="X100" s="4">
        <v>94</v>
      </c>
      <c r="Y100" s="4">
        <v>95</v>
      </c>
      <c r="Z100" s="4">
        <v>95</v>
      </c>
      <c r="AA100" s="4">
        <v>98</v>
      </c>
      <c r="AB100" s="4">
        <v>94</v>
      </c>
      <c r="AC100" s="4">
        <v>98</v>
      </c>
      <c r="AD100" s="4">
        <v>103</v>
      </c>
      <c r="AE100" s="4">
        <v>105</v>
      </c>
      <c r="AF100" s="4">
        <v>95</v>
      </c>
      <c r="AG100" s="4">
        <v>96</v>
      </c>
      <c r="AH100" s="6">
        <v>104</v>
      </c>
      <c r="AI100" s="4">
        <v>107</v>
      </c>
      <c r="AJ100" s="87" t="s">
        <v>388</v>
      </c>
      <c r="AL100" s="4">
        <v>93</v>
      </c>
      <c r="AM100" s="4">
        <v>94</v>
      </c>
      <c r="AN100" s="4">
        <v>110</v>
      </c>
      <c r="AO100" s="4">
        <v>112</v>
      </c>
      <c r="AP100" s="4">
        <v>98</v>
      </c>
      <c r="AQ100" s="4">
        <v>101</v>
      </c>
      <c r="AR100" s="4">
        <v>102</v>
      </c>
      <c r="AS100" s="4">
        <v>104</v>
      </c>
      <c r="AT100" s="4">
        <v>96</v>
      </c>
      <c r="AU100" s="4">
        <v>98</v>
      </c>
      <c r="AV100" s="4">
        <v>95</v>
      </c>
      <c r="AW100" s="4">
        <v>98</v>
      </c>
      <c r="AX100" s="4">
        <v>108</v>
      </c>
      <c r="AY100" s="4">
        <v>110</v>
      </c>
      <c r="AZ100" s="4">
        <v>88</v>
      </c>
      <c r="BA100" s="4">
        <v>89</v>
      </c>
      <c r="BD100" s="3">
        <v>97</v>
      </c>
    </row>
    <row r="101" spans="2:56" ht="15.75">
      <c r="B101" s="3">
        <v>98</v>
      </c>
      <c r="D101" s="4">
        <v>102</v>
      </c>
      <c r="E101" s="4">
        <v>107</v>
      </c>
      <c r="F101" s="4">
        <v>110</v>
      </c>
      <c r="G101" s="4">
        <v>110</v>
      </c>
      <c r="H101" s="4">
        <v>111</v>
      </c>
      <c r="I101" s="4">
        <v>113</v>
      </c>
      <c r="J101" s="4">
        <v>105</v>
      </c>
      <c r="K101" s="4">
        <v>105</v>
      </c>
      <c r="L101" s="4">
        <v>88</v>
      </c>
      <c r="M101" s="4">
        <v>92</v>
      </c>
      <c r="N101" s="87" t="s">
        <v>388</v>
      </c>
      <c r="P101" s="4">
        <v>93</v>
      </c>
      <c r="Q101" s="4">
        <v>95</v>
      </c>
      <c r="R101" s="4">
        <v>92</v>
      </c>
      <c r="S101" s="4">
        <v>94</v>
      </c>
      <c r="T101" s="4">
        <v>82</v>
      </c>
      <c r="U101" s="4">
        <v>88</v>
      </c>
      <c r="V101" s="4">
        <v>96</v>
      </c>
      <c r="W101" s="4">
        <v>99</v>
      </c>
      <c r="X101" s="4">
        <v>96</v>
      </c>
      <c r="Y101" s="4">
        <v>101</v>
      </c>
      <c r="Z101" s="4">
        <v>99</v>
      </c>
      <c r="AA101" s="4">
        <v>106</v>
      </c>
      <c r="AB101" s="4">
        <v>99</v>
      </c>
      <c r="AC101" s="4">
        <v>103</v>
      </c>
      <c r="AD101" s="4">
        <v>106</v>
      </c>
      <c r="AE101" s="4">
        <v>106</v>
      </c>
      <c r="AF101" s="4">
        <v>97</v>
      </c>
      <c r="AG101" s="4">
        <v>100</v>
      </c>
      <c r="AH101" s="6">
        <v>108</v>
      </c>
      <c r="AI101" s="4">
        <v>108</v>
      </c>
      <c r="AJ101" s="4">
        <v>105</v>
      </c>
      <c r="AK101" s="4">
        <v>113</v>
      </c>
      <c r="AL101" s="4">
        <v>95</v>
      </c>
      <c r="AM101" s="4">
        <v>99</v>
      </c>
      <c r="AN101" s="4">
        <v>113</v>
      </c>
      <c r="AO101" s="4">
        <v>113</v>
      </c>
      <c r="AP101" s="4">
        <v>102</v>
      </c>
      <c r="AQ101" s="4">
        <v>104</v>
      </c>
      <c r="AR101" s="4">
        <v>105</v>
      </c>
      <c r="AS101" s="4">
        <v>108</v>
      </c>
      <c r="AT101" s="4">
        <v>99</v>
      </c>
      <c r="AU101" s="4">
        <v>99</v>
      </c>
      <c r="AV101" s="4">
        <v>99</v>
      </c>
      <c r="AW101" s="4">
        <v>101</v>
      </c>
      <c r="AX101" s="4">
        <v>111</v>
      </c>
      <c r="AY101" s="4">
        <v>113</v>
      </c>
      <c r="AZ101" s="4">
        <v>90</v>
      </c>
      <c r="BA101" s="4">
        <v>93</v>
      </c>
      <c r="BD101" s="3">
        <v>98</v>
      </c>
    </row>
    <row r="102" spans="2:56" ht="15.75">
      <c r="B102" s="3">
        <v>99</v>
      </c>
      <c r="D102" s="4">
        <v>108</v>
      </c>
      <c r="E102" s="4">
        <v>115</v>
      </c>
      <c r="F102" s="4">
        <v>111</v>
      </c>
      <c r="G102" s="4">
        <v>115</v>
      </c>
      <c r="H102" s="4">
        <v>114</v>
      </c>
      <c r="I102" s="4">
        <v>115</v>
      </c>
      <c r="J102" s="4">
        <v>106</v>
      </c>
      <c r="K102" s="4">
        <v>115</v>
      </c>
      <c r="L102" s="4">
        <v>93</v>
      </c>
      <c r="M102" s="4">
        <v>100</v>
      </c>
      <c r="N102" s="4">
        <v>93</v>
      </c>
      <c r="O102" s="4">
        <v>100</v>
      </c>
      <c r="P102" s="4">
        <v>96</v>
      </c>
      <c r="Q102" s="4">
        <v>115</v>
      </c>
      <c r="R102" s="4">
        <v>95</v>
      </c>
      <c r="S102" s="4">
        <v>115</v>
      </c>
      <c r="T102" s="4">
        <v>89</v>
      </c>
      <c r="U102" s="4">
        <v>115</v>
      </c>
      <c r="V102" s="4">
        <v>100</v>
      </c>
      <c r="W102" s="4">
        <v>100</v>
      </c>
      <c r="X102" s="4">
        <v>102</v>
      </c>
      <c r="Y102" s="4">
        <v>115</v>
      </c>
      <c r="Z102" s="4">
        <v>107</v>
      </c>
      <c r="AA102" s="4">
        <v>115</v>
      </c>
      <c r="AB102" s="4">
        <v>104</v>
      </c>
      <c r="AC102" s="4">
        <v>115</v>
      </c>
      <c r="AD102" s="4">
        <v>107</v>
      </c>
      <c r="AE102" s="4">
        <v>115</v>
      </c>
      <c r="AF102" s="4">
        <v>101</v>
      </c>
      <c r="AG102" s="4">
        <v>115</v>
      </c>
      <c r="AH102" s="6">
        <v>109</v>
      </c>
      <c r="AI102" s="4">
        <v>115</v>
      </c>
      <c r="AJ102" s="4">
        <v>114</v>
      </c>
      <c r="AK102" s="4">
        <v>115</v>
      </c>
      <c r="AL102" s="4">
        <v>100</v>
      </c>
      <c r="AM102" s="4">
        <v>115</v>
      </c>
      <c r="AN102" s="4">
        <v>114</v>
      </c>
      <c r="AO102" s="4">
        <v>115</v>
      </c>
      <c r="AP102" s="4">
        <v>105</v>
      </c>
      <c r="AQ102" s="4">
        <v>115</v>
      </c>
      <c r="AR102" s="4">
        <v>109</v>
      </c>
      <c r="AS102" s="4">
        <v>115</v>
      </c>
      <c r="AT102" s="4">
        <v>100</v>
      </c>
      <c r="AU102" s="4">
        <v>115</v>
      </c>
      <c r="AV102" s="4">
        <v>102</v>
      </c>
      <c r="AW102" s="4">
        <v>115</v>
      </c>
      <c r="AX102" s="4">
        <v>114</v>
      </c>
      <c r="AY102" s="4">
        <v>115</v>
      </c>
      <c r="AZ102" s="4">
        <v>94</v>
      </c>
      <c r="BA102" s="4">
        <v>115</v>
      </c>
      <c r="BD102" s="3">
        <v>99</v>
      </c>
    </row>
  </sheetData>
  <mergeCells count="27">
    <mergeCell ref="AZ3:BA3"/>
    <mergeCell ref="AP3:AQ3"/>
    <mergeCell ref="AR3:AS3"/>
    <mergeCell ref="AT3:AU3"/>
    <mergeCell ref="AV3:AW3"/>
    <mergeCell ref="AX3:AY3"/>
    <mergeCell ref="AF3:AG3"/>
    <mergeCell ref="AH3:AI3"/>
    <mergeCell ref="AJ3:AK3"/>
    <mergeCell ref="AL3:AM3"/>
    <mergeCell ref="AN3:AO3"/>
    <mergeCell ref="A2:AZ2"/>
    <mergeCell ref="A3:C3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</mergeCells>
  <pageMargins left="0.7" right="0.7" top="0.75" bottom="0.75" header="0.3" footer="0.3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2:Z119"/>
  <sheetViews>
    <sheetView zoomScale="70" zoomScaleNormal="70" workbookViewId="0">
      <selection activeCell="K99" sqref="K99"/>
    </sheetView>
  </sheetViews>
  <sheetFormatPr baseColWidth="10" defaultColWidth="4.140625" defaultRowHeight="15"/>
  <cols>
    <col min="1" max="1" width="5" style="4" customWidth="1"/>
    <col min="2" max="10" width="4.140625" style="4" customWidth="1"/>
    <col min="11" max="11" width="5.5703125" style="4" customWidth="1"/>
    <col min="12" max="12" width="4.140625" style="4"/>
    <col min="13" max="13" width="5.5703125" style="4" customWidth="1"/>
    <col min="14" max="16384" width="4.140625" style="4"/>
  </cols>
  <sheetData>
    <row r="2" spans="1:26" ht="15.75">
      <c r="B2" s="3" t="s">
        <v>390</v>
      </c>
    </row>
    <row r="3" spans="1:26" s="3" customFormat="1" ht="15.75">
      <c r="B3" s="3">
        <v>1</v>
      </c>
      <c r="C3" s="3" t="s">
        <v>245</v>
      </c>
      <c r="D3" s="3" t="s">
        <v>247</v>
      </c>
      <c r="E3" s="3">
        <v>3</v>
      </c>
      <c r="F3" s="3" t="s">
        <v>250</v>
      </c>
      <c r="G3" s="3" t="s">
        <v>252</v>
      </c>
      <c r="H3" s="3">
        <v>5</v>
      </c>
      <c r="I3" s="3" t="s">
        <v>255</v>
      </c>
      <c r="J3" s="3" t="s">
        <v>257</v>
      </c>
      <c r="K3" s="3">
        <v>7</v>
      </c>
      <c r="L3" s="3" t="s">
        <v>260</v>
      </c>
      <c r="M3" s="3" t="s">
        <v>262</v>
      </c>
      <c r="N3" s="3" t="s">
        <v>265</v>
      </c>
      <c r="O3" s="3" t="s">
        <v>267</v>
      </c>
      <c r="P3" s="3" t="s">
        <v>269</v>
      </c>
      <c r="Q3" s="5" t="s">
        <v>272</v>
      </c>
      <c r="R3" s="3" t="s">
        <v>274</v>
      </c>
      <c r="S3" s="3" t="s">
        <v>276</v>
      </c>
      <c r="T3" s="3" t="s">
        <v>278</v>
      </c>
      <c r="U3" s="3" t="s">
        <v>280</v>
      </c>
      <c r="V3" s="3" t="s">
        <v>282</v>
      </c>
      <c r="W3" s="3" t="s">
        <v>284</v>
      </c>
      <c r="X3" s="3" t="s">
        <v>286</v>
      </c>
      <c r="Y3" s="3" t="s">
        <v>288</v>
      </c>
      <c r="Z3" s="3" t="s">
        <v>290</v>
      </c>
    </row>
    <row r="4" spans="1:26" ht="15.75">
      <c r="A4" s="3">
        <v>0</v>
      </c>
      <c r="B4" s="4">
        <v>2</v>
      </c>
      <c r="C4" s="4">
        <v>2</v>
      </c>
      <c r="D4" s="4">
        <v>5</v>
      </c>
      <c r="E4" s="4">
        <v>2</v>
      </c>
      <c r="F4" s="4">
        <v>4</v>
      </c>
      <c r="G4" s="4">
        <v>4</v>
      </c>
      <c r="H4" s="4">
        <v>10</v>
      </c>
      <c r="I4" s="4">
        <v>11</v>
      </c>
      <c r="J4" s="4">
        <v>6</v>
      </c>
      <c r="K4" s="4">
        <v>1</v>
      </c>
      <c r="L4" s="4">
        <v>3</v>
      </c>
      <c r="M4" s="4">
        <v>5</v>
      </c>
      <c r="N4" s="4">
        <v>4</v>
      </c>
      <c r="O4" s="4">
        <v>4</v>
      </c>
      <c r="P4" s="4">
        <v>7</v>
      </c>
      <c r="Q4" s="6">
        <v>5</v>
      </c>
      <c r="R4" s="4">
        <v>11</v>
      </c>
      <c r="S4" s="4">
        <v>3</v>
      </c>
      <c r="T4" s="4">
        <v>3</v>
      </c>
      <c r="U4" s="4">
        <v>34</v>
      </c>
      <c r="V4" s="4">
        <v>24</v>
      </c>
      <c r="W4" s="4">
        <v>8</v>
      </c>
      <c r="X4" s="4">
        <v>3</v>
      </c>
      <c r="Y4" s="4">
        <v>13</v>
      </c>
      <c r="Z4" s="4">
        <v>17</v>
      </c>
    </row>
    <row r="5" spans="1:26" ht="15.75">
      <c r="A5" s="3">
        <v>1</v>
      </c>
      <c r="B5" s="4">
        <v>2</v>
      </c>
      <c r="C5" s="4">
        <v>2</v>
      </c>
      <c r="D5" s="4">
        <v>6</v>
      </c>
      <c r="E5" s="4">
        <v>2</v>
      </c>
      <c r="F5" s="4">
        <v>4</v>
      </c>
      <c r="G5" s="4">
        <v>4</v>
      </c>
      <c r="H5" s="4">
        <v>11</v>
      </c>
      <c r="I5" s="4">
        <v>12</v>
      </c>
      <c r="J5" s="4">
        <v>7</v>
      </c>
      <c r="K5" s="4">
        <v>1</v>
      </c>
      <c r="L5" s="4">
        <v>4</v>
      </c>
      <c r="M5" s="4">
        <v>5</v>
      </c>
      <c r="N5" s="4">
        <v>5</v>
      </c>
      <c r="O5" s="4">
        <v>6</v>
      </c>
      <c r="P5" s="4">
        <v>9</v>
      </c>
      <c r="Q5" s="6">
        <v>5</v>
      </c>
      <c r="R5" s="4">
        <v>12</v>
      </c>
      <c r="S5" s="4">
        <v>4</v>
      </c>
      <c r="T5" s="4">
        <v>4</v>
      </c>
      <c r="U5" s="4">
        <v>36</v>
      </c>
      <c r="V5" s="4">
        <v>25</v>
      </c>
      <c r="W5" s="4">
        <v>9</v>
      </c>
      <c r="X5" s="4">
        <v>4</v>
      </c>
      <c r="Y5" s="4">
        <v>14</v>
      </c>
      <c r="Z5" s="4">
        <v>19</v>
      </c>
    </row>
    <row r="6" spans="1:26" ht="15.75">
      <c r="A6" s="3">
        <v>2</v>
      </c>
      <c r="B6" s="4">
        <v>2</v>
      </c>
      <c r="C6" s="4">
        <v>2</v>
      </c>
      <c r="D6" s="4">
        <v>6</v>
      </c>
      <c r="E6" s="4">
        <v>2</v>
      </c>
      <c r="F6" s="4">
        <v>4</v>
      </c>
      <c r="G6" s="4">
        <v>4</v>
      </c>
      <c r="H6" s="4">
        <v>11</v>
      </c>
      <c r="I6" s="4">
        <v>12</v>
      </c>
      <c r="J6" s="4">
        <v>8</v>
      </c>
      <c r="K6" s="4">
        <v>1</v>
      </c>
      <c r="L6" s="4">
        <v>5</v>
      </c>
      <c r="M6" s="4">
        <v>5</v>
      </c>
      <c r="N6" s="4">
        <v>6</v>
      </c>
      <c r="O6" s="4">
        <v>6</v>
      </c>
      <c r="P6" s="4">
        <v>10</v>
      </c>
      <c r="Q6" s="6">
        <v>6</v>
      </c>
      <c r="R6" s="4">
        <v>12</v>
      </c>
      <c r="S6" s="4">
        <v>4</v>
      </c>
      <c r="T6" s="4">
        <v>4</v>
      </c>
      <c r="U6" s="4">
        <v>37</v>
      </c>
      <c r="V6" s="4">
        <v>25</v>
      </c>
      <c r="W6" s="4">
        <v>10</v>
      </c>
      <c r="X6" s="4">
        <v>5</v>
      </c>
      <c r="Y6" s="4">
        <v>15</v>
      </c>
      <c r="Z6" s="4">
        <v>20</v>
      </c>
    </row>
    <row r="7" spans="1:26" ht="15.75">
      <c r="A7" s="3">
        <v>3</v>
      </c>
      <c r="B7" s="4">
        <v>2</v>
      </c>
      <c r="C7" s="4">
        <v>2</v>
      </c>
      <c r="D7" s="4">
        <v>7</v>
      </c>
      <c r="E7" s="4">
        <v>2</v>
      </c>
      <c r="F7" s="4">
        <v>4</v>
      </c>
      <c r="G7" s="4">
        <v>4</v>
      </c>
      <c r="H7" s="4">
        <v>12</v>
      </c>
      <c r="I7" s="4">
        <v>12</v>
      </c>
      <c r="J7" s="4">
        <v>8</v>
      </c>
      <c r="K7" s="4">
        <v>1</v>
      </c>
      <c r="L7" s="4">
        <v>6</v>
      </c>
      <c r="M7" s="4">
        <v>6</v>
      </c>
      <c r="N7" s="4">
        <v>6</v>
      </c>
      <c r="O7" s="4">
        <v>6</v>
      </c>
      <c r="P7" s="4">
        <v>10</v>
      </c>
      <c r="Q7" s="6">
        <v>6</v>
      </c>
      <c r="R7" s="4">
        <v>12</v>
      </c>
      <c r="S7" s="4">
        <v>4</v>
      </c>
      <c r="T7" s="4">
        <v>4</v>
      </c>
      <c r="U7" s="4">
        <v>37</v>
      </c>
      <c r="V7" s="4">
        <v>25</v>
      </c>
      <c r="W7" s="4">
        <v>10</v>
      </c>
      <c r="X7" s="4">
        <v>5</v>
      </c>
      <c r="Y7" s="4">
        <v>15</v>
      </c>
      <c r="Z7" s="4">
        <v>20</v>
      </c>
    </row>
    <row r="8" spans="1:26" ht="15.75">
      <c r="A8" s="3">
        <v>4</v>
      </c>
      <c r="B8" s="4">
        <v>2</v>
      </c>
      <c r="C8" s="4">
        <v>2</v>
      </c>
      <c r="D8" s="4">
        <v>7</v>
      </c>
      <c r="E8" s="4">
        <v>2</v>
      </c>
      <c r="F8" s="4">
        <v>4</v>
      </c>
      <c r="G8" s="4">
        <v>4</v>
      </c>
      <c r="H8" s="4">
        <v>12</v>
      </c>
      <c r="I8" s="4">
        <v>12</v>
      </c>
      <c r="J8" s="4">
        <v>8</v>
      </c>
      <c r="K8" s="4">
        <v>1</v>
      </c>
      <c r="L8" s="4">
        <v>6</v>
      </c>
      <c r="M8" s="4">
        <v>6</v>
      </c>
      <c r="N8" s="4">
        <v>6</v>
      </c>
      <c r="O8" s="4">
        <v>6</v>
      </c>
      <c r="P8" s="4">
        <v>10</v>
      </c>
      <c r="Q8" s="6">
        <v>6</v>
      </c>
      <c r="R8" s="4">
        <v>12</v>
      </c>
      <c r="S8" s="4">
        <v>4</v>
      </c>
      <c r="T8" s="4">
        <v>4</v>
      </c>
      <c r="U8" s="4">
        <v>37</v>
      </c>
      <c r="V8" s="4">
        <v>25</v>
      </c>
      <c r="W8" s="4">
        <v>10</v>
      </c>
      <c r="X8" s="4">
        <v>5</v>
      </c>
      <c r="Y8" s="4">
        <v>15</v>
      </c>
      <c r="Z8" s="4">
        <v>20</v>
      </c>
    </row>
    <row r="9" spans="1:26" ht="15.75">
      <c r="A9" s="3">
        <v>5</v>
      </c>
      <c r="B9" s="4">
        <v>2</v>
      </c>
      <c r="C9" s="4">
        <v>2</v>
      </c>
      <c r="D9" s="4">
        <v>8</v>
      </c>
      <c r="E9" s="4">
        <v>2</v>
      </c>
      <c r="F9" s="4">
        <v>4</v>
      </c>
      <c r="G9" s="4">
        <v>5</v>
      </c>
      <c r="H9" s="4">
        <v>12</v>
      </c>
      <c r="I9" s="4">
        <v>12</v>
      </c>
      <c r="J9" s="4">
        <v>8</v>
      </c>
      <c r="K9" s="4">
        <v>1</v>
      </c>
      <c r="L9" s="4">
        <v>6</v>
      </c>
      <c r="M9" s="4">
        <v>6</v>
      </c>
      <c r="N9" s="4">
        <v>6</v>
      </c>
      <c r="O9" s="4">
        <v>7</v>
      </c>
      <c r="P9" s="4">
        <v>10</v>
      </c>
      <c r="Q9" s="6">
        <v>6</v>
      </c>
      <c r="R9" s="4">
        <v>12</v>
      </c>
      <c r="S9" s="4">
        <v>4</v>
      </c>
      <c r="T9" s="4">
        <v>8</v>
      </c>
      <c r="U9" s="4">
        <v>37</v>
      </c>
      <c r="V9" s="4">
        <v>26</v>
      </c>
      <c r="W9" s="4">
        <v>10</v>
      </c>
      <c r="X9" s="4">
        <v>5</v>
      </c>
      <c r="Y9" s="4">
        <v>15</v>
      </c>
      <c r="Z9" s="4">
        <v>20</v>
      </c>
    </row>
    <row r="10" spans="1:26" ht="15.75">
      <c r="A10" s="3">
        <v>6</v>
      </c>
      <c r="B10" s="4">
        <v>2</v>
      </c>
      <c r="C10" s="4">
        <v>5</v>
      </c>
      <c r="D10" s="4">
        <v>8</v>
      </c>
      <c r="E10" s="4">
        <v>3</v>
      </c>
      <c r="F10" s="4">
        <v>7</v>
      </c>
      <c r="G10" s="4">
        <v>7</v>
      </c>
      <c r="H10" s="4">
        <v>12</v>
      </c>
      <c r="I10" s="4">
        <v>12</v>
      </c>
      <c r="J10" s="4">
        <v>8</v>
      </c>
      <c r="K10" s="4">
        <v>1</v>
      </c>
      <c r="L10" s="4">
        <v>6</v>
      </c>
      <c r="M10" s="4">
        <v>6</v>
      </c>
      <c r="N10" s="4">
        <v>9</v>
      </c>
      <c r="O10" s="4">
        <v>7</v>
      </c>
      <c r="P10" s="4">
        <v>10</v>
      </c>
      <c r="Q10" s="6">
        <v>6</v>
      </c>
      <c r="R10" s="4">
        <v>12</v>
      </c>
      <c r="S10" s="4">
        <v>4</v>
      </c>
      <c r="T10" s="4">
        <v>8</v>
      </c>
      <c r="U10" s="4">
        <v>37</v>
      </c>
      <c r="V10" s="4">
        <v>26</v>
      </c>
      <c r="W10" s="4">
        <v>10</v>
      </c>
      <c r="X10" s="4">
        <v>5</v>
      </c>
      <c r="Y10" s="4">
        <v>15</v>
      </c>
      <c r="Z10" s="4">
        <v>20</v>
      </c>
    </row>
    <row r="11" spans="1:26" ht="15.75">
      <c r="A11" s="3">
        <v>7</v>
      </c>
      <c r="B11" s="4">
        <v>5</v>
      </c>
      <c r="C11" s="4">
        <v>5</v>
      </c>
      <c r="D11" s="4">
        <v>9</v>
      </c>
      <c r="E11" s="4">
        <v>3</v>
      </c>
      <c r="F11" s="4">
        <v>9</v>
      </c>
      <c r="G11" s="4">
        <v>8</v>
      </c>
      <c r="H11" s="4">
        <v>12</v>
      </c>
      <c r="I11" s="4">
        <v>12</v>
      </c>
      <c r="J11" s="4">
        <v>8</v>
      </c>
      <c r="K11" s="4">
        <v>1</v>
      </c>
      <c r="L11" s="4">
        <v>9</v>
      </c>
      <c r="M11" s="4">
        <v>6</v>
      </c>
      <c r="N11" s="4">
        <v>9</v>
      </c>
      <c r="O11" s="4">
        <v>7</v>
      </c>
      <c r="P11" s="4">
        <v>10</v>
      </c>
      <c r="Q11" s="6">
        <v>6</v>
      </c>
      <c r="R11" s="4">
        <v>12</v>
      </c>
      <c r="S11" s="4">
        <v>4</v>
      </c>
      <c r="T11" s="4">
        <v>9</v>
      </c>
      <c r="U11" s="4">
        <v>37</v>
      </c>
      <c r="V11" s="4">
        <v>26</v>
      </c>
      <c r="W11" s="4">
        <v>10</v>
      </c>
      <c r="X11" s="4">
        <v>8</v>
      </c>
      <c r="Y11" s="4">
        <v>15</v>
      </c>
      <c r="Z11" s="4">
        <v>20</v>
      </c>
    </row>
    <row r="12" spans="1:26" ht="15.75">
      <c r="A12" s="3">
        <v>8</v>
      </c>
      <c r="B12" s="4">
        <v>5</v>
      </c>
      <c r="C12" s="4">
        <v>6</v>
      </c>
      <c r="D12" s="4">
        <v>9</v>
      </c>
      <c r="E12" s="4">
        <v>3</v>
      </c>
      <c r="F12" s="4">
        <v>9</v>
      </c>
      <c r="G12" s="4">
        <v>8</v>
      </c>
      <c r="H12" s="4">
        <v>12</v>
      </c>
      <c r="I12" s="4">
        <v>12</v>
      </c>
      <c r="J12" s="4">
        <v>8</v>
      </c>
      <c r="K12" s="4">
        <v>1</v>
      </c>
      <c r="L12" s="4">
        <v>9</v>
      </c>
      <c r="M12" s="4">
        <v>10</v>
      </c>
      <c r="N12" s="4">
        <v>10</v>
      </c>
      <c r="O12" s="4">
        <v>12</v>
      </c>
      <c r="P12" s="4">
        <v>10</v>
      </c>
      <c r="Q12" s="6">
        <v>10</v>
      </c>
      <c r="R12" s="4">
        <v>12</v>
      </c>
      <c r="S12" s="4">
        <v>4</v>
      </c>
      <c r="T12" s="4">
        <v>9</v>
      </c>
      <c r="U12" s="4">
        <v>37</v>
      </c>
      <c r="V12" s="4">
        <v>26</v>
      </c>
      <c r="W12" s="4">
        <v>10</v>
      </c>
      <c r="X12" s="4">
        <v>8</v>
      </c>
      <c r="Y12" s="4">
        <v>16</v>
      </c>
      <c r="Z12" s="4">
        <v>20</v>
      </c>
    </row>
    <row r="13" spans="1:26" ht="15.75">
      <c r="A13" s="3">
        <v>9</v>
      </c>
      <c r="B13" s="4">
        <v>5</v>
      </c>
      <c r="C13" s="4">
        <v>6</v>
      </c>
      <c r="D13" s="4">
        <v>9</v>
      </c>
      <c r="E13" s="4">
        <v>3</v>
      </c>
      <c r="F13" s="4">
        <v>10</v>
      </c>
      <c r="G13" s="4">
        <v>8</v>
      </c>
      <c r="H13" s="4">
        <v>12</v>
      </c>
      <c r="I13" s="4">
        <v>12</v>
      </c>
      <c r="J13" s="4">
        <v>8</v>
      </c>
      <c r="K13" s="4">
        <v>1</v>
      </c>
      <c r="L13" s="4">
        <v>10</v>
      </c>
      <c r="M13" s="4">
        <v>10</v>
      </c>
      <c r="N13" s="4">
        <v>10</v>
      </c>
      <c r="O13" s="4">
        <v>13</v>
      </c>
      <c r="P13" s="4">
        <v>15</v>
      </c>
      <c r="Q13" s="6">
        <v>10</v>
      </c>
      <c r="R13" s="4">
        <v>12</v>
      </c>
      <c r="S13" s="4">
        <v>4</v>
      </c>
      <c r="T13" s="4">
        <v>9</v>
      </c>
      <c r="U13" s="4">
        <v>37</v>
      </c>
      <c r="V13" s="4">
        <v>26</v>
      </c>
      <c r="W13" s="4">
        <v>10</v>
      </c>
      <c r="X13" s="4">
        <v>9</v>
      </c>
      <c r="Y13" s="4">
        <v>21</v>
      </c>
      <c r="Z13" s="4">
        <v>20</v>
      </c>
    </row>
    <row r="14" spans="1:26" ht="15.75">
      <c r="A14" s="3">
        <v>10</v>
      </c>
      <c r="B14" s="4">
        <v>5</v>
      </c>
      <c r="C14" s="4">
        <v>6</v>
      </c>
      <c r="D14" s="4">
        <v>13</v>
      </c>
      <c r="E14" s="4">
        <v>4</v>
      </c>
      <c r="F14" s="4">
        <v>10</v>
      </c>
      <c r="G14" s="4">
        <v>8</v>
      </c>
      <c r="H14" s="4">
        <v>12</v>
      </c>
      <c r="I14" s="4">
        <v>12</v>
      </c>
      <c r="J14" s="4">
        <v>13</v>
      </c>
      <c r="K14" s="4">
        <v>1</v>
      </c>
      <c r="L14" s="4">
        <v>10</v>
      </c>
      <c r="M14" s="4">
        <v>10</v>
      </c>
      <c r="N14" s="4">
        <v>10</v>
      </c>
      <c r="O14" s="4">
        <v>13</v>
      </c>
      <c r="P14" s="4">
        <v>15</v>
      </c>
      <c r="Q14" s="6">
        <v>10</v>
      </c>
      <c r="R14" s="4">
        <v>17</v>
      </c>
      <c r="S14" s="4">
        <v>8</v>
      </c>
      <c r="T14" s="4">
        <v>13</v>
      </c>
      <c r="U14" s="4">
        <v>37</v>
      </c>
      <c r="V14" s="4">
        <v>26</v>
      </c>
      <c r="W14" s="4">
        <v>10</v>
      </c>
      <c r="X14" s="4">
        <v>9</v>
      </c>
      <c r="Y14" s="4">
        <v>21</v>
      </c>
      <c r="Z14" s="4">
        <v>20</v>
      </c>
    </row>
    <row r="15" spans="1:26" ht="15.75">
      <c r="A15" s="3">
        <v>11</v>
      </c>
      <c r="B15" s="4">
        <v>5</v>
      </c>
      <c r="C15" s="4">
        <v>6</v>
      </c>
      <c r="D15" s="4">
        <v>13</v>
      </c>
      <c r="E15" s="4">
        <v>4</v>
      </c>
      <c r="F15" s="4">
        <v>10</v>
      </c>
      <c r="G15" s="4">
        <v>9</v>
      </c>
      <c r="H15" s="4">
        <v>12</v>
      </c>
      <c r="I15" s="4">
        <v>12</v>
      </c>
      <c r="J15" s="4">
        <v>13</v>
      </c>
      <c r="K15" s="4">
        <v>1</v>
      </c>
      <c r="L15" s="4">
        <v>10</v>
      </c>
      <c r="M15" s="4">
        <v>11</v>
      </c>
      <c r="N15" s="4">
        <v>10</v>
      </c>
      <c r="O15" s="4">
        <v>13</v>
      </c>
      <c r="P15" s="4">
        <v>15</v>
      </c>
      <c r="Q15" s="6">
        <v>10</v>
      </c>
      <c r="R15" s="4">
        <v>19</v>
      </c>
      <c r="S15" s="4">
        <v>9</v>
      </c>
      <c r="T15" s="4">
        <v>14</v>
      </c>
      <c r="U15" s="4">
        <v>37</v>
      </c>
      <c r="V15" s="4">
        <v>26</v>
      </c>
      <c r="W15" s="4">
        <v>10</v>
      </c>
      <c r="X15" s="4">
        <v>9</v>
      </c>
      <c r="Y15" s="4">
        <v>22</v>
      </c>
      <c r="Z15" s="4">
        <v>20</v>
      </c>
    </row>
    <row r="16" spans="1:26" ht="15.75">
      <c r="A16" s="3">
        <v>12</v>
      </c>
      <c r="B16" s="4">
        <v>5</v>
      </c>
      <c r="C16" s="4">
        <v>10</v>
      </c>
      <c r="D16" s="4">
        <v>14</v>
      </c>
      <c r="E16" s="4">
        <v>7</v>
      </c>
      <c r="F16" s="4">
        <v>11</v>
      </c>
      <c r="G16" s="4">
        <v>13</v>
      </c>
      <c r="H16" s="4">
        <v>15</v>
      </c>
      <c r="I16" s="4">
        <v>12</v>
      </c>
      <c r="J16" s="4">
        <v>13</v>
      </c>
      <c r="K16" s="4">
        <v>1</v>
      </c>
      <c r="L16" s="4">
        <v>10</v>
      </c>
      <c r="M16" s="4">
        <v>11</v>
      </c>
      <c r="N16" s="4">
        <v>14</v>
      </c>
      <c r="O16" s="4">
        <v>13</v>
      </c>
      <c r="P16" s="4">
        <v>15</v>
      </c>
      <c r="Q16" s="6">
        <v>10</v>
      </c>
      <c r="R16" s="4">
        <v>19</v>
      </c>
      <c r="S16" s="4">
        <v>9</v>
      </c>
      <c r="T16" s="4">
        <v>14</v>
      </c>
      <c r="U16" s="4">
        <v>37</v>
      </c>
      <c r="V16" s="4">
        <v>26</v>
      </c>
      <c r="W16" s="4">
        <v>18</v>
      </c>
      <c r="X16" s="4">
        <v>9</v>
      </c>
      <c r="Y16" s="4">
        <v>22</v>
      </c>
      <c r="Z16" s="4">
        <v>20</v>
      </c>
    </row>
    <row r="17" spans="1:26" ht="15.75">
      <c r="A17" s="3">
        <v>13</v>
      </c>
      <c r="B17" s="4">
        <v>9</v>
      </c>
      <c r="C17" s="4">
        <v>10</v>
      </c>
      <c r="D17" s="4">
        <v>14</v>
      </c>
      <c r="E17" s="4">
        <v>7</v>
      </c>
      <c r="F17" s="4">
        <v>14</v>
      </c>
      <c r="G17" s="4">
        <v>13</v>
      </c>
      <c r="H17" s="4">
        <v>15</v>
      </c>
      <c r="I17" s="4">
        <v>12</v>
      </c>
      <c r="J17" s="4">
        <v>13</v>
      </c>
      <c r="K17" s="4">
        <v>1</v>
      </c>
      <c r="L17" s="4">
        <v>13</v>
      </c>
      <c r="M17" s="4">
        <v>11</v>
      </c>
      <c r="N17" s="4">
        <v>14</v>
      </c>
      <c r="O17" s="4">
        <v>13</v>
      </c>
      <c r="P17" s="4">
        <v>15</v>
      </c>
      <c r="Q17" s="6">
        <v>10</v>
      </c>
      <c r="R17" s="4">
        <v>19</v>
      </c>
      <c r="S17" s="4">
        <v>9</v>
      </c>
      <c r="T17" s="4">
        <v>14</v>
      </c>
      <c r="U17" s="4">
        <v>37</v>
      </c>
      <c r="V17" s="4">
        <v>26</v>
      </c>
      <c r="W17" s="4">
        <v>19</v>
      </c>
      <c r="X17" s="4">
        <v>13</v>
      </c>
      <c r="Y17" s="4">
        <v>22</v>
      </c>
      <c r="Z17" s="4">
        <v>20</v>
      </c>
    </row>
    <row r="18" spans="1:26" ht="15.75">
      <c r="A18" s="3">
        <v>14</v>
      </c>
      <c r="B18" s="4">
        <v>9</v>
      </c>
      <c r="C18" s="4">
        <v>10</v>
      </c>
      <c r="D18" s="4">
        <v>14</v>
      </c>
      <c r="E18" s="4">
        <v>7</v>
      </c>
      <c r="F18" s="4">
        <v>14</v>
      </c>
      <c r="G18" s="4">
        <v>14</v>
      </c>
      <c r="H18" s="4">
        <v>15</v>
      </c>
      <c r="I18" s="4">
        <v>12</v>
      </c>
      <c r="J18" s="4">
        <v>13</v>
      </c>
      <c r="K18" s="4">
        <v>1</v>
      </c>
      <c r="L18" s="4">
        <v>14</v>
      </c>
      <c r="M18" s="4">
        <v>11</v>
      </c>
      <c r="N18" s="4">
        <v>15</v>
      </c>
      <c r="O18" s="4">
        <v>13</v>
      </c>
      <c r="P18" s="4">
        <v>15</v>
      </c>
      <c r="Q18" s="6">
        <v>10</v>
      </c>
      <c r="R18" s="4">
        <v>19</v>
      </c>
      <c r="S18" s="4">
        <v>9</v>
      </c>
      <c r="T18" s="4">
        <v>14</v>
      </c>
      <c r="U18" s="4">
        <v>37</v>
      </c>
      <c r="V18" s="4">
        <v>26</v>
      </c>
      <c r="W18" s="4">
        <v>19</v>
      </c>
      <c r="X18" s="4">
        <v>14</v>
      </c>
      <c r="Y18" s="4">
        <v>22</v>
      </c>
      <c r="Z18" s="4">
        <v>20</v>
      </c>
    </row>
    <row r="19" spans="1:26" ht="15.75">
      <c r="A19" s="3">
        <v>15</v>
      </c>
      <c r="B19" s="4">
        <v>9</v>
      </c>
      <c r="C19" s="4">
        <v>10</v>
      </c>
      <c r="D19" s="4">
        <v>17</v>
      </c>
      <c r="E19" s="4">
        <v>8</v>
      </c>
      <c r="F19" s="4">
        <v>14</v>
      </c>
      <c r="G19" s="4">
        <v>14</v>
      </c>
      <c r="H19" s="4">
        <v>15</v>
      </c>
      <c r="I19" s="4">
        <v>12</v>
      </c>
      <c r="J19" s="4">
        <v>13</v>
      </c>
      <c r="K19" s="4">
        <v>1</v>
      </c>
      <c r="L19" s="4">
        <v>14</v>
      </c>
      <c r="M19" s="4">
        <v>15</v>
      </c>
      <c r="N19" s="4">
        <v>15</v>
      </c>
      <c r="O19" s="4">
        <v>18</v>
      </c>
      <c r="P19" s="4">
        <v>15</v>
      </c>
      <c r="Q19" s="6">
        <v>14</v>
      </c>
      <c r="R19" s="4">
        <v>19</v>
      </c>
      <c r="S19" s="4">
        <v>9</v>
      </c>
      <c r="T19" s="4">
        <v>18</v>
      </c>
      <c r="U19" s="4">
        <v>37</v>
      </c>
      <c r="V19" s="4">
        <v>26</v>
      </c>
      <c r="W19" s="4">
        <v>19</v>
      </c>
      <c r="X19" s="4">
        <v>14</v>
      </c>
      <c r="Y19" s="4">
        <v>22</v>
      </c>
      <c r="Z19" s="4">
        <v>20</v>
      </c>
    </row>
    <row r="20" spans="1:26" ht="15.75">
      <c r="A20" s="3">
        <v>16</v>
      </c>
      <c r="B20" s="4">
        <v>9</v>
      </c>
      <c r="C20" s="4">
        <v>10</v>
      </c>
      <c r="D20" s="4">
        <v>17</v>
      </c>
      <c r="E20" s="4">
        <v>8</v>
      </c>
      <c r="F20" s="4">
        <v>14</v>
      </c>
      <c r="G20" s="4">
        <v>14</v>
      </c>
      <c r="H20" s="4">
        <v>15</v>
      </c>
      <c r="I20" s="4">
        <v>13</v>
      </c>
      <c r="J20" s="4">
        <v>13</v>
      </c>
      <c r="K20" s="4">
        <v>1</v>
      </c>
      <c r="L20" s="4">
        <v>14</v>
      </c>
      <c r="M20" s="4">
        <v>16</v>
      </c>
      <c r="N20" s="4">
        <v>15</v>
      </c>
      <c r="O20" s="4">
        <v>19</v>
      </c>
      <c r="P20" s="4">
        <v>15</v>
      </c>
      <c r="Q20" s="6">
        <v>15</v>
      </c>
      <c r="R20" s="4">
        <v>19</v>
      </c>
      <c r="S20" s="4">
        <v>9</v>
      </c>
      <c r="T20" s="4">
        <v>18</v>
      </c>
      <c r="U20" s="4">
        <v>37</v>
      </c>
      <c r="V20" s="4">
        <v>26</v>
      </c>
      <c r="W20" s="4">
        <v>19</v>
      </c>
      <c r="X20" s="4">
        <v>14</v>
      </c>
      <c r="Y20" s="4">
        <v>22</v>
      </c>
      <c r="Z20" s="4">
        <v>20</v>
      </c>
    </row>
    <row r="21" spans="1:26" ht="15.75">
      <c r="A21" s="3">
        <v>17</v>
      </c>
      <c r="B21" s="4">
        <v>9</v>
      </c>
      <c r="C21" s="4">
        <v>10</v>
      </c>
      <c r="D21" s="4">
        <v>17</v>
      </c>
      <c r="E21" s="4">
        <v>8</v>
      </c>
      <c r="F21" s="4">
        <v>14</v>
      </c>
      <c r="G21" s="4">
        <v>15</v>
      </c>
      <c r="H21" s="4">
        <v>15</v>
      </c>
      <c r="I21" s="4">
        <v>13</v>
      </c>
      <c r="J21" s="4">
        <v>13</v>
      </c>
      <c r="K21" s="4">
        <v>1</v>
      </c>
      <c r="L21" s="4">
        <v>14</v>
      </c>
      <c r="M21" s="4">
        <v>16</v>
      </c>
      <c r="N21" s="4">
        <v>15</v>
      </c>
      <c r="O21" s="4">
        <v>19</v>
      </c>
      <c r="P21" s="4">
        <v>24</v>
      </c>
      <c r="Q21" s="6">
        <v>15</v>
      </c>
      <c r="R21" s="4">
        <v>19</v>
      </c>
      <c r="S21" s="4">
        <v>9</v>
      </c>
      <c r="T21" s="4">
        <v>18</v>
      </c>
      <c r="U21" s="4">
        <v>37</v>
      </c>
      <c r="V21" s="4">
        <v>26</v>
      </c>
      <c r="W21" s="4">
        <v>19</v>
      </c>
      <c r="X21" s="4">
        <v>14</v>
      </c>
      <c r="Y21" s="4">
        <v>28</v>
      </c>
      <c r="Z21" s="4">
        <v>20</v>
      </c>
    </row>
    <row r="22" spans="1:26" ht="15.75">
      <c r="A22" s="3">
        <v>18</v>
      </c>
      <c r="B22" s="4">
        <v>9</v>
      </c>
      <c r="C22" s="4">
        <v>16</v>
      </c>
      <c r="D22" s="4">
        <v>18</v>
      </c>
      <c r="E22" s="4">
        <v>9</v>
      </c>
      <c r="F22" s="4">
        <v>14</v>
      </c>
      <c r="G22" s="4">
        <v>19</v>
      </c>
      <c r="H22" s="4">
        <v>15</v>
      </c>
      <c r="I22" s="4">
        <v>13</v>
      </c>
      <c r="J22" s="4">
        <v>13</v>
      </c>
      <c r="K22" s="4">
        <v>1</v>
      </c>
      <c r="L22" s="4">
        <v>14</v>
      </c>
      <c r="M22" s="4">
        <v>16</v>
      </c>
      <c r="N22" s="4">
        <v>18</v>
      </c>
      <c r="O22" s="4">
        <v>19</v>
      </c>
      <c r="P22" s="4">
        <v>24</v>
      </c>
      <c r="Q22" s="6">
        <v>15</v>
      </c>
      <c r="R22" s="4">
        <v>19</v>
      </c>
      <c r="S22" s="4">
        <v>9</v>
      </c>
      <c r="T22" s="4">
        <v>18</v>
      </c>
      <c r="U22" s="4">
        <v>37</v>
      </c>
      <c r="V22" s="4">
        <v>26</v>
      </c>
      <c r="W22" s="4">
        <v>19</v>
      </c>
      <c r="X22" s="4">
        <v>14</v>
      </c>
      <c r="Y22" s="4">
        <v>28</v>
      </c>
      <c r="Z22" s="4">
        <v>20</v>
      </c>
    </row>
    <row r="23" spans="1:26" ht="15.75">
      <c r="A23" s="3">
        <v>19</v>
      </c>
      <c r="B23" s="4">
        <v>9</v>
      </c>
      <c r="C23" s="4">
        <v>16</v>
      </c>
      <c r="D23" s="4">
        <v>18</v>
      </c>
      <c r="E23" s="4">
        <v>10</v>
      </c>
      <c r="F23" s="4">
        <v>15</v>
      </c>
      <c r="G23" s="4">
        <v>19</v>
      </c>
      <c r="H23" s="4">
        <v>15</v>
      </c>
      <c r="I23" s="4">
        <v>14</v>
      </c>
      <c r="J23" s="4">
        <v>14</v>
      </c>
      <c r="K23" s="4">
        <v>1</v>
      </c>
      <c r="L23" s="4">
        <v>14</v>
      </c>
      <c r="M23" s="4">
        <v>16</v>
      </c>
      <c r="N23" s="4">
        <v>18</v>
      </c>
      <c r="O23" s="4">
        <v>19</v>
      </c>
      <c r="P23" s="4">
        <v>24</v>
      </c>
      <c r="Q23" s="6">
        <v>15</v>
      </c>
      <c r="R23" s="4">
        <v>20</v>
      </c>
      <c r="S23" s="4">
        <v>9</v>
      </c>
      <c r="T23" s="4">
        <v>18</v>
      </c>
      <c r="U23" s="4">
        <v>37</v>
      </c>
      <c r="V23" s="4">
        <v>26</v>
      </c>
      <c r="W23" s="4">
        <v>19</v>
      </c>
      <c r="X23" s="4">
        <v>14</v>
      </c>
      <c r="Y23" s="4">
        <v>28</v>
      </c>
      <c r="Z23" s="4">
        <v>20</v>
      </c>
    </row>
    <row r="24" spans="1:26" ht="15.75">
      <c r="A24" s="3">
        <v>20</v>
      </c>
      <c r="B24" s="4">
        <v>13</v>
      </c>
      <c r="C24" s="4">
        <v>16</v>
      </c>
      <c r="D24" s="4">
        <v>20</v>
      </c>
      <c r="E24" s="4">
        <v>10</v>
      </c>
      <c r="F24" s="4">
        <v>18</v>
      </c>
      <c r="G24" s="4">
        <v>19</v>
      </c>
      <c r="H24" s="4">
        <v>15</v>
      </c>
      <c r="I24" s="4">
        <v>25</v>
      </c>
      <c r="J24" s="4">
        <v>22</v>
      </c>
      <c r="K24" s="4">
        <v>2</v>
      </c>
      <c r="L24" s="4">
        <v>19</v>
      </c>
      <c r="M24" s="4">
        <v>16</v>
      </c>
      <c r="N24" s="4">
        <v>18</v>
      </c>
      <c r="O24" s="4">
        <v>19</v>
      </c>
      <c r="P24" s="4">
        <v>24</v>
      </c>
      <c r="Q24" s="6">
        <v>15</v>
      </c>
      <c r="R24" s="4">
        <v>28</v>
      </c>
      <c r="S24" s="4">
        <v>15</v>
      </c>
      <c r="T24" s="4">
        <v>21</v>
      </c>
      <c r="U24" s="4">
        <v>37</v>
      </c>
      <c r="V24" s="4">
        <v>26</v>
      </c>
      <c r="W24" s="4">
        <v>19</v>
      </c>
      <c r="X24" s="4">
        <v>20</v>
      </c>
      <c r="Y24" s="4">
        <v>28</v>
      </c>
      <c r="Z24" s="4">
        <v>20</v>
      </c>
    </row>
    <row r="25" spans="1:26" ht="15.75">
      <c r="A25" s="3">
        <v>21</v>
      </c>
      <c r="B25" s="4">
        <v>14</v>
      </c>
      <c r="C25" s="4">
        <v>16</v>
      </c>
      <c r="D25" s="4">
        <v>20</v>
      </c>
      <c r="E25" s="4">
        <v>10</v>
      </c>
      <c r="F25" s="4">
        <v>18</v>
      </c>
      <c r="G25" s="4">
        <v>19</v>
      </c>
      <c r="H25" s="4">
        <v>15</v>
      </c>
      <c r="I25" s="4">
        <v>25</v>
      </c>
      <c r="J25" s="4">
        <v>22</v>
      </c>
      <c r="K25" s="4">
        <v>2</v>
      </c>
      <c r="L25" s="4">
        <v>19</v>
      </c>
      <c r="M25" s="4">
        <v>16</v>
      </c>
      <c r="N25" s="4">
        <v>18</v>
      </c>
      <c r="O25" s="4">
        <v>19</v>
      </c>
      <c r="P25" s="4">
        <v>24</v>
      </c>
      <c r="Q25" s="6">
        <v>15</v>
      </c>
      <c r="R25" s="4">
        <v>29</v>
      </c>
      <c r="S25" s="4">
        <v>15</v>
      </c>
      <c r="T25" s="4">
        <v>21</v>
      </c>
      <c r="U25" s="4">
        <v>37</v>
      </c>
      <c r="V25" s="4">
        <v>26</v>
      </c>
      <c r="W25" s="4">
        <v>19</v>
      </c>
      <c r="X25" s="4">
        <v>20</v>
      </c>
      <c r="Y25" s="4">
        <v>28</v>
      </c>
      <c r="Z25" s="4">
        <v>20</v>
      </c>
    </row>
    <row r="26" spans="1:26" ht="15.75">
      <c r="A26" s="3">
        <v>22</v>
      </c>
      <c r="B26" s="4">
        <v>14</v>
      </c>
      <c r="C26" s="4">
        <v>16</v>
      </c>
      <c r="D26" s="4">
        <v>20</v>
      </c>
      <c r="E26" s="4">
        <v>10</v>
      </c>
      <c r="F26" s="4">
        <v>18</v>
      </c>
      <c r="G26" s="4">
        <v>19</v>
      </c>
      <c r="H26" s="4">
        <v>15</v>
      </c>
      <c r="I26" s="4">
        <v>26</v>
      </c>
      <c r="J26" s="4">
        <v>23</v>
      </c>
      <c r="K26" s="4">
        <v>2</v>
      </c>
      <c r="L26" s="4">
        <v>19</v>
      </c>
      <c r="M26" s="4">
        <v>16</v>
      </c>
      <c r="N26" s="4">
        <v>18</v>
      </c>
      <c r="O26" s="4">
        <v>19</v>
      </c>
      <c r="P26" s="4">
        <v>24</v>
      </c>
      <c r="Q26" s="6">
        <v>15</v>
      </c>
      <c r="R26" s="4">
        <v>29</v>
      </c>
      <c r="S26" s="4">
        <v>15</v>
      </c>
      <c r="T26" s="4">
        <v>21</v>
      </c>
      <c r="U26" s="4">
        <v>37</v>
      </c>
      <c r="V26" s="4">
        <v>26</v>
      </c>
      <c r="W26" s="4">
        <v>19</v>
      </c>
      <c r="X26" s="4">
        <v>20</v>
      </c>
      <c r="Y26" s="4">
        <v>28</v>
      </c>
      <c r="Z26" s="4">
        <v>20</v>
      </c>
    </row>
    <row r="27" spans="1:26" ht="15.75">
      <c r="A27" s="3">
        <v>23</v>
      </c>
      <c r="B27" s="4">
        <v>14</v>
      </c>
      <c r="C27" s="4">
        <v>16</v>
      </c>
      <c r="D27" s="4">
        <v>20</v>
      </c>
      <c r="E27" s="4">
        <v>10</v>
      </c>
      <c r="F27" s="4">
        <v>18</v>
      </c>
      <c r="G27" s="4">
        <v>21</v>
      </c>
      <c r="H27" s="4">
        <v>16</v>
      </c>
      <c r="I27" s="4">
        <v>26</v>
      </c>
      <c r="J27" s="4">
        <v>23</v>
      </c>
      <c r="K27" s="4">
        <v>2</v>
      </c>
      <c r="L27" s="4">
        <v>19</v>
      </c>
      <c r="M27" s="4">
        <v>22</v>
      </c>
      <c r="N27" s="4">
        <v>18</v>
      </c>
      <c r="O27" s="4">
        <v>24</v>
      </c>
      <c r="P27" s="4">
        <v>24</v>
      </c>
      <c r="Q27" s="6">
        <v>19</v>
      </c>
      <c r="R27" s="4">
        <v>29</v>
      </c>
      <c r="S27" s="4">
        <v>15</v>
      </c>
      <c r="T27" s="4">
        <v>21</v>
      </c>
      <c r="U27" s="4">
        <v>37</v>
      </c>
      <c r="V27" s="4">
        <v>26</v>
      </c>
      <c r="W27" s="4">
        <v>19</v>
      </c>
      <c r="X27" s="4">
        <v>20</v>
      </c>
      <c r="Y27" s="4">
        <v>28</v>
      </c>
      <c r="Z27" s="4">
        <v>20</v>
      </c>
    </row>
    <row r="28" spans="1:26" ht="15.75">
      <c r="A28" s="3">
        <v>24</v>
      </c>
      <c r="B28" s="4">
        <v>14</v>
      </c>
      <c r="C28" s="4">
        <v>20</v>
      </c>
      <c r="D28" s="4">
        <v>21</v>
      </c>
      <c r="E28" s="4">
        <v>14</v>
      </c>
      <c r="F28" s="4">
        <v>18</v>
      </c>
      <c r="G28" s="4">
        <v>24</v>
      </c>
      <c r="H28" s="4">
        <v>25</v>
      </c>
      <c r="I28" s="4">
        <v>26</v>
      </c>
      <c r="J28" s="4">
        <v>23</v>
      </c>
      <c r="K28" s="4">
        <v>2</v>
      </c>
      <c r="L28" s="4">
        <v>19</v>
      </c>
      <c r="M28" s="4">
        <v>22</v>
      </c>
      <c r="N28" s="4">
        <v>24</v>
      </c>
      <c r="O28" s="4">
        <v>24</v>
      </c>
      <c r="P28" s="4">
        <v>24</v>
      </c>
      <c r="Q28" s="6">
        <v>20</v>
      </c>
      <c r="R28" s="4">
        <v>29</v>
      </c>
      <c r="S28" s="4">
        <v>15</v>
      </c>
      <c r="T28" s="4">
        <v>21</v>
      </c>
      <c r="U28" s="4">
        <v>37</v>
      </c>
      <c r="V28" s="4">
        <v>26</v>
      </c>
      <c r="W28" s="4">
        <v>28</v>
      </c>
      <c r="X28" s="4">
        <v>20</v>
      </c>
      <c r="Y28" s="4">
        <v>28</v>
      </c>
      <c r="Z28" s="4">
        <v>20</v>
      </c>
    </row>
    <row r="29" spans="1:26" ht="15.75">
      <c r="A29" s="3">
        <v>25</v>
      </c>
      <c r="B29" s="4">
        <v>14</v>
      </c>
      <c r="C29" s="4">
        <v>20</v>
      </c>
      <c r="D29" s="4">
        <v>23</v>
      </c>
      <c r="E29" s="4">
        <v>15</v>
      </c>
      <c r="F29" s="4">
        <v>18</v>
      </c>
      <c r="G29" s="4">
        <v>24</v>
      </c>
      <c r="H29" s="4">
        <v>25</v>
      </c>
      <c r="I29" s="4">
        <v>26</v>
      </c>
      <c r="J29" s="4">
        <v>23</v>
      </c>
      <c r="K29" s="4">
        <v>3</v>
      </c>
      <c r="L29" s="4">
        <v>19</v>
      </c>
      <c r="M29" s="4">
        <v>22</v>
      </c>
      <c r="N29" s="4">
        <v>24</v>
      </c>
      <c r="O29" s="4">
        <v>24</v>
      </c>
      <c r="P29" s="4">
        <v>24</v>
      </c>
      <c r="Q29" s="6">
        <v>20</v>
      </c>
      <c r="R29" s="4">
        <v>29</v>
      </c>
      <c r="S29" s="4">
        <v>15</v>
      </c>
      <c r="T29" s="4">
        <v>24</v>
      </c>
      <c r="U29" s="4">
        <v>37</v>
      </c>
      <c r="V29" s="4">
        <v>26</v>
      </c>
      <c r="W29" s="4">
        <v>28</v>
      </c>
      <c r="X29" s="4">
        <v>20</v>
      </c>
      <c r="Y29" s="4">
        <v>28</v>
      </c>
      <c r="Z29" s="4">
        <v>20</v>
      </c>
    </row>
    <row r="30" spans="1:26" ht="15.75">
      <c r="A30" s="3">
        <v>26</v>
      </c>
      <c r="B30" s="4">
        <v>14</v>
      </c>
      <c r="C30" s="4">
        <v>20</v>
      </c>
      <c r="D30" s="4">
        <v>23</v>
      </c>
      <c r="E30" s="4">
        <v>15</v>
      </c>
      <c r="F30" s="4">
        <v>19</v>
      </c>
      <c r="G30" s="4">
        <v>24</v>
      </c>
      <c r="H30" s="4">
        <v>26</v>
      </c>
      <c r="I30" s="4">
        <v>26</v>
      </c>
      <c r="J30" s="4">
        <v>23</v>
      </c>
      <c r="K30" s="4">
        <v>3</v>
      </c>
      <c r="L30" s="4">
        <v>19</v>
      </c>
      <c r="M30" s="4">
        <v>22</v>
      </c>
      <c r="N30" s="4">
        <v>24</v>
      </c>
      <c r="O30" s="4">
        <v>24</v>
      </c>
      <c r="P30" s="4">
        <v>29</v>
      </c>
      <c r="Q30" s="6">
        <v>20</v>
      </c>
      <c r="R30" s="4">
        <v>29</v>
      </c>
      <c r="S30" s="4">
        <v>15</v>
      </c>
      <c r="T30" s="4">
        <v>24</v>
      </c>
      <c r="U30" s="4">
        <v>37</v>
      </c>
      <c r="V30" s="4">
        <v>26</v>
      </c>
      <c r="W30" s="4">
        <v>28</v>
      </c>
      <c r="X30" s="4">
        <v>20</v>
      </c>
      <c r="Y30" s="4">
        <v>32</v>
      </c>
      <c r="Z30" s="4">
        <v>20</v>
      </c>
    </row>
    <row r="31" spans="1:26" ht="15.75">
      <c r="A31" s="3">
        <v>27</v>
      </c>
      <c r="B31" s="4">
        <v>18</v>
      </c>
      <c r="C31" s="4">
        <v>20</v>
      </c>
      <c r="D31" s="4">
        <v>23</v>
      </c>
      <c r="E31" s="4">
        <v>15</v>
      </c>
      <c r="F31" s="4">
        <v>24</v>
      </c>
      <c r="G31" s="4">
        <v>24</v>
      </c>
      <c r="H31" s="4">
        <v>26</v>
      </c>
      <c r="I31" s="4">
        <v>26</v>
      </c>
      <c r="J31" s="4">
        <v>23</v>
      </c>
      <c r="K31" s="4">
        <v>3</v>
      </c>
      <c r="L31" s="4">
        <v>24</v>
      </c>
      <c r="M31" s="4">
        <v>23</v>
      </c>
      <c r="N31" s="4">
        <v>24</v>
      </c>
      <c r="O31" s="4">
        <v>24</v>
      </c>
      <c r="P31" s="4">
        <v>29</v>
      </c>
      <c r="Q31" s="6">
        <v>20</v>
      </c>
      <c r="R31" s="4">
        <v>29</v>
      </c>
      <c r="S31" s="4">
        <v>15</v>
      </c>
      <c r="T31" s="4">
        <v>24</v>
      </c>
      <c r="U31" s="4">
        <v>37</v>
      </c>
      <c r="V31" s="4">
        <v>26</v>
      </c>
      <c r="W31" s="4">
        <v>28</v>
      </c>
      <c r="X31" s="4">
        <v>23</v>
      </c>
      <c r="Y31" s="4">
        <v>32</v>
      </c>
      <c r="Z31" s="4">
        <v>20</v>
      </c>
    </row>
    <row r="32" spans="1:26" ht="15.75">
      <c r="A32" s="3">
        <v>28</v>
      </c>
      <c r="B32" s="4">
        <v>19</v>
      </c>
      <c r="C32" s="4">
        <v>21</v>
      </c>
      <c r="D32" s="4">
        <v>23</v>
      </c>
      <c r="E32" s="4">
        <v>15</v>
      </c>
      <c r="F32" s="4">
        <v>24</v>
      </c>
      <c r="G32" s="4">
        <v>24</v>
      </c>
      <c r="H32" s="4">
        <v>27</v>
      </c>
      <c r="I32" s="4">
        <v>26</v>
      </c>
      <c r="J32" s="4">
        <v>23</v>
      </c>
      <c r="K32" s="4">
        <v>3</v>
      </c>
      <c r="L32" s="4">
        <v>24</v>
      </c>
      <c r="M32" s="4">
        <v>23</v>
      </c>
      <c r="N32" s="4">
        <v>24</v>
      </c>
      <c r="O32" s="4">
        <v>24</v>
      </c>
      <c r="P32" s="4">
        <v>29</v>
      </c>
      <c r="Q32" s="6">
        <v>20</v>
      </c>
      <c r="R32" s="4">
        <v>29</v>
      </c>
      <c r="S32" s="4">
        <v>15</v>
      </c>
      <c r="T32" s="4">
        <v>24</v>
      </c>
      <c r="U32" s="4">
        <v>37</v>
      </c>
      <c r="V32" s="4">
        <v>26</v>
      </c>
      <c r="W32" s="4">
        <v>28</v>
      </c>
      <c r="X32" s="4">
        <v>24</v>
      </c>
      <c r="Y32" s="4">
        <v>32</v>
      </c>
      <c r="Z32" s="4">
        <v>20</v>
      </c>
    </row>
    <row r="33" spans="1:26" ht="15.75">
      <c r="A33" s="3">
        <v>29</v>
      </c>
      <c r="B33" s="4">
        <v>19</v>
      </c>
      <c r="C33" s="4">
        <v>21</v>
      </c>
      <c r="D33" s="4">
        <v>24</v>
      </c>
      <c r="E33" s="4">
        <v>15</v>
      </c>
      <c r="F33" s="4">
        <v>25</v>
      </c>
      <c r="G33" s="4">
        <v>25</v>
      </c>
      <c r="H33" s="4">
        <v>27</v>
      </c>
      <c r="I33" s="4">
        <v>26</v>
      </c>
      <c r="J33" s="4">
        <v>24</v>
      </c>
      <c r="K33" s="4">
        <v>4</v>
      </c>
      <c r="L33" s="4">
        <v>24</v>
      </c>
      <c r="M33" s="4">
        <v>23</v>
      </c>
      <c r="N33" s="4">
        <v>24</v>
      </c>
      <c r="O33" s="4">
        <v>24</v>
      </c>
      <c r="P33" s="4">
        <v>29</v>
      </c>
      <c r="Q33" s="6">
        <v>20</v>
      </c>
      <c r="R33" s="4">
        <v>30</v>
      </c>
      <c r="S33" s="4">
        <v>16</v>
      </c>
      <c r="T33" s="4">
        <v>25</v>
      </c>
      <c r="U33" s="4">
        <v>37</v>
      </c>
      <c r="V33" s="4">
        <v>26</v>
      </c>
      <c r="W33" s="4">
        <v>28</v>
      </c>
      <c r="X33" s="4">
        <v>24</v>
      </c>
      <c r="Y33" s="4">
        <v>32</v>
      </c>
      <c r="Z33" s="4">
        <v>21</v>
      </c>
    </row>
    <row r="34" spans="1:26" ht="15.75">
      <c r="A34" s="3">
        <v>30</v>
      </c>
      <c r="B34" s="4">
        <v>19</v>
      </c>
      <c r="C34" s="4">
        <v>25</v>
      </c>
      <c r="D34" s="4">
        <v>28</v>
      </c>
      <c r="E34" s="4">
        <v>20</v>
      </c>
      <c r="F34" s="4">
        <v>25</v>
      </c>
      <c r="G34" s="4">
        <v>28</v>
      </c>
      <c r="H34" s="4">
        <v>27</v>
      </c>
      <c r="I34" s="4">
        <v>26</v>
      </c>
      <c r="J34" s="4">
        <v>30</v>
      </c>
      <c r="K34" s="4">
        <v>5</v>
      </c>
      <c r="L34" s="4">
        <v>24</v>
      </c>
      <c r="M34" s="4">
        <v>28</v>
      </c>
      <c r="N34" s="4">
        <v>29</v>
      </c>
      <c r="O34" s="4">
        <v>30</v>
      </c>
      <c r="P34" s="4">
        <v>29</v>
      </c>
      <c r="Q34" s="6">
        <v>26</v>
      </c>
      <c r="R34" s="4">
        <v>35</v>
      </c>
      <c r="S34" s="4">
        <v>22</v>
      </c>
      <c r="T34" s="4">
        <v>28</v>
      </c>
      <c r="U34" s="4">
        <v>37</v>
      </c>
      <c r="V34" s="4">
        <v>26</v>
      </c>
      <c r="W34" s="4">
        <v>28</v>
      </c>
      <c r="X34" s="4">
        <v>24</v>
      </c>
      <c r="Y34" s="4">
        <v>32</v>
      </c>
      <c r="Z34" s="4">
        <v>38</v>
      </c>
    </row>
    <row r="35" spans="1:26" ht="15.75">
      <c r="A35" s="3">
        <v>31</v>
      </c>
      <c r="B35" s="4">
        <v>19</v>
      </c>
      <c r="C35" s="4">
        <v>25</v>
      </c>
      <c r="D35" s="4">
        <v>28</v>
      </c>
      <c r="E35" s="4">
        <v>20</v>
      </c>
      <c r="F35" s="4">
        <v>25</v>
      </c>
      <c r="G35" s="4">
        <v>29</v>
      </c>
      <c r="H35" s="4">
        <v>27</v>
      </c>
      <c r="I35" s="4">
        <v>26</v>
      </c>
      <c r="J35" s="4">
        <v>30</v>
      </c>
      <c r="K35" s="4">
        <v>5</v>
      </c>
      <c r="L35" s="4">
        <v>24</v>
      </c>
      <c r="M35" s="4">
        <v>28</v>
      </c>
      <c r="N35" s="4">
        <v>29</v>
      </c>
      <c r="O35" s="4">
        <v>30</v>
      </c>
      <c r="P35" s="4">
        <v>29</v>
      </c>
      <c r="Q35" s="6">
        <v>26</v>
      </c>
      <c r="R35" s="4">
        <v>35</v>
      </c>
      <c r="S35" s="4">
        <v>23</v>
      </c>
      <c r="T35" s="4">
        <v>28</v>
      </c>
      <c r="U35" s="4">
        <v>37</v>
      </c>
      <c r="V35" s="4">
        <v>26</v>
      </c>
      <c r="W35" s="4">
        <v>28</v>
      </c>
      <c r="X35" s="4">
        <v>24</v>
      </c>
      <c r="Y35" s="4">
        <v>32</v>
      </c>
      <c r="Z35" s="4">
        <v>38</v>
      </c>
    </row>
    <row r="36" spans="1:26" ht="15.75">
      <c r="A36" s="3">
        <v>32</v>
      </c>
      <c r="B36" s="4">
        <v>20</v>
      </c>
      <c r="C36" s="4">
        <v>25</v>
      </c>
      <c r="D36" s="4">
        <v>29</v>
      </c>
      <c r="E36" s="4">
        <v>20</v>
      </c>
      <c r="F36" s="4">
        <v>26</v>
      </c>
      <c r="G36" s="4">
        <v>29</v>
      </c>
      <c r="H36" s="4">
        <v>27</v>
      </c>
      <c r="I36" s="4">
        <v>26</v>
      </c>
      <c r="J36" s="4">
        <v>30</v>
      </c>
      <c r="K36" s="4">
        <v>6</v>
      </c>
      <c r="L36" s="4">
        <v>24</v>
      </c>
      <c r="M36" s="4">
        <v>29</v>
      </c>
      <c r="N36" s="4">
        <v>29</v>
      </c>
      <c r="O36" s="4">
        <v>30</v>
      </c>
      <c r="P36" s="4">
        <v>29</v>
      </c>
      <c r="Q36" s="6">
        <v>26</v>
      </c>
      <c r="R36" s="4">
        <v>35</v>
      </c>
      <c r="S36" s="4">
        <v>23</v>
      </c>
      <c r="T36" s="4">
        <v>28</v>
      </c>
      <c r="U36" s="4">
        <v>37</v>
      </c>
      <c r="V36" s="4">
        <v>26</v>
      </c>
      <c r="W36" s="4">
        <v>28</v>
      </c>
      <c r="X36" s="4">
        <v>24</v>
      </c>
      <c r="Y36" s="4">
        <v>32</v>
      </c>
      <c r="Z36" s="4">
        <v>39</v>
      </c>
    </row>
    <row r="37" spans="1:26" ht="15.75">
      <c r="A37" s="3">
        <v>33</v>
      </c>
      <c r="B37" s="4">
        <v>26</v>
      </c>
      <c r="C37" s="4">
        <v>25</v>
      </c>
      <c r="D37" s="4">
        <v>29</v>
      </c>
      <c r="E37" s="4">
        <v>21</v>
      </c>
      <c r="F37" s="4">
        <v>30</v>
      </c>
      <c r="G37" s="4">
        <v>29</v>
      </c>
      <c r="H37" s="4">
        <v>27</v>
      </c>
      <c r="I37" s="4">
        <v>26</v>
      </c>
      <c r="J37" s="4">
        <v>30</v>
      </c>
      <c r="K37" s="4">
        <v>6</v>
      </c>
      <c r="L37" s="4">
        <v>29</v>
      </c>
      <c r="M37" s="4">
        <v>29</v>
      </c>
      <c r="N37" s="4">
        <v>29</v>
      </c>
      <c r="O37" s="4">
        <v>30</v>
      </c>
      <c r="P37" s="4">
        <v>29</v>
      </c>
      <c r="Q37" s="6">
        <v>26</v>
      </c>
      <c r="R37" s="4">
        <v>35</v>
      </c>
      <c r="S37" s="4">
        <v>23</v>
      </c>
      <c r="T37" s="4">
        <v>28</v>
      </c>
      <c r="U37" s="4">
        <v>37</v>
      </c>
      <c r="V37" s="4">
        <v>26</v>
      </c>
      <c r="W37" s="4">
        <v>28</v>
      </c>
      <c r="X37" s="4">
        <v>27</v>
      </c>
      <c r="Y37" s="4">
        <v>33</v>
      </c>
      <c r="Z37" s="4">
        <v>39</v>
      </c>
    </row>
    <row r="38" spans="1:26" ht="15.75">
      <c r="A38" s="3">
        <v>34</v>
      </c>
      <c r="B38" s="4">
        <v>26</v>
      </c>
      <c r="C38" s="4">
        <v>25</v>
      </c>
      <c r="D38" s="4">
        <v>29</v>
      </c>
      <c r="E38" s="4">
        <v>21</v>
      </c>
      <c r="F38" s="4">
        <v>30</v>
      </c>
      <c r="G38" s="4">
        <v>29</v>
      </c>
      <c r="H38" s="4">
        <v>27</v>
      </c>
      <c r="I38" s="4">
        <v>26</v>
      </c>
      <c r="J38" s="4">
        <v>30</v>
      </c>
      <c r="K38" s="4">
        <v>9</v>
      </c>
      <c r="L38" s="4">
        <v>29</v>
      </c>
      <c r="M38" s="4">
        <v>29</v>
      </c>
      <c r="N38" s="4">
        <v>29</v>
      </c>
      <c r="O38" s="4">
        <v>30</v>
      </c>
      <c r="P38" s="4">
        <v>36</v>
      </c>
      <c r="Q38" s="6">
        <v>26</v>
      </c>
      <c r="R38" s="4">
        <v>35</v>
      </c>
      <c r="S38" s="4">
        <v>23</v>
      </c>
      <c r="T38" s="4">
        <v>28</v>
      </c>
      <c r="U38" s="4">
        <v>37</v>
      </c>
      <c r="V38" s="4">
        <v>26</v>
      </c>
      <c r="W38" s="4">
        <v>28</v>
      </c>
      <c r="X38" s="4">
        <v>28</v>
      </c>
      <c r="Y38" s="4">
        <v>38</v>
      </c>
      <c r="Z38" s="4">
        <v>39</v>
      </c>
    </row>
    <row r="39" spans="1:26" ht="15.75">
      <c r="A39" s="3">
        <v>35</v>
      </c>
      <c r="B39" s="4">
        <v>26</v>
      </c>
      <c r="C39" s="4">
        <v>26</v>
      </c>
      <c r="D39" s="4">
        <v>32</v>
      </c>
      <c r="E39" s="4">
        <v>21</v>
      </c>
      <c r="F39" s="4">
        <v>30</v>
      </c>
      <c r="G39" s="4">
        <v>30</v>
      </c>
      <c r="H39" s="4">
        <v>28</v>
      </c>
      <c r="I39" s="4">
        <v>26</v>
      </c>
      <c r="J39" s="4">
        <v>30</v>
      </c>
      <c r="K39" s="4">
        <v>9</v>
      </c>
      <c r="L39" s="4">
        <v>29</v>
      </c>
      <c r="M39" s="4">
        <v>29</v>
      </c>
      <c r="N39" s="4">
        <v>30</v>
      </c>
      <c r="O39" s="4">
        <v>30</v>
      </c>
      <c r="P39" s="4">
        <v>36</v>
      </c>
      <c r="Q39" s="6">
        <v>26</v>
      </c>
      <c r="R39" s="4">
        <v>35</v>
      </c>
      <c r="S39" s="4">
        <v>23</v>
      </c>
      <c r="T39" s="4">
        <v>31</v>
      </c>
      <c r="U39" s="4">
        <v>37</v>
      </c>
      <c r="V39" s="4">
        <v>26</v>
      </c>
      <c r="W39" s="4">
        <v>29</v>
      </c>
      <c r="X39" s="4">
        <v>28</v>
      </c>
      <c r="Y39" s="4">
        <v>38</v>
      </c>
      <c r="Z39" s="4">
        <v>39</v>
      </c>
    </row>
    <row r="40" spans="1:26" ht="15.75">
      <c r="A40" s="3">
        <v>36</v>
      </c>
      <c r="B40" s="4">
        <v>26</v>
      </c>
      <c r="C40" s="4">
        <v>31</v>
      </c>
      <c r="D40" s="4">
        <v>32</v>
      </c>
      <c r="E40" s="4">
        <v>25</v>
      </c>
      <c r="F40" s="4">
        <v>30</v>
      </c>
      <c r="G40" s="4">
        <v>33</v>
      </c>
      <c r="H40" s="4">
        <v>33</v>
      </c>
      <c r="I40" s="4">
        <v>26</v>
      </c>
      <c r="J40" s="4">
        <v>30</v>
      </c>
      <c r="K40" s="4">
        <v>9</v>
      </c>
      <c r="L40" s="4">
        <v>29</v>
      </c>
      <c r="M40" s="4">
        <v>29</v>
      </c>
      <c r="N40" s="4">
        <v>34</v>
      </c>
      <c r="O40" s="4">
        <v>30</v>
      </c>
      <c r="P40" s="4">
        <v>36</v>
      </c>
      <c r="Q40" s="6">
        <v>26</v>
      </c>
      <c r="R40" s="4">
        <v>35</v>
      </c>
      <c r="S40" s="4">
        <v>23</v>
      </c>
      <c r="T40" s="4">
        <v>31</v>
      </c>
      <c r="U40" s="4">
        <v>37</v>
      </c>
      <c r="V40" s="4">
        <v>26</v>
      </c>
      <c r="W40" s="4">
        <v>36</v>
      </c>
      <c r="X40" s="4">
        <v>28</v>
      </c>
      <c r="Y40" s="4">
        <v>38</v>
      </c>
      <c r="Z40" s="4">
        <v>39</v>
      </c>
    </row>
    <row r="41" spans="1:26" ht="15.75">
      <c r="A41" s="3">
        <v>37</v>
      </c>
      <c r="B41" s="4">
        <v>26</v>
      </c>
      <c r="C41" s="4">
        <v>31</v>
      </c>
      <c r="D41" s="4">
        <v>32</v>
      </c>
      <c r="E41" s="4">
        <v>25</v>
      </c>
      <c r="F41" s="4">
        <v>30</v>
      </c>
      <c r="G41" s="4">
        <v>33</v>
      </c>
      <c r="H41" s="4">
        <v>34</v>
      </c>
      <c r="I41" s="4">
        <v>26</v>
      </c>
      <c r="J41" s="4">
        <v>30</v>
      </c>
      <c r="K41" s="4">
        <v>10</v>
      </c>
      <c r="L41" s="4">
        <v>29</v>
      </c>
      <c r="M41" s="4">
        <v>29</v>
      </c>
      <c r="N41" s="4">
        <v>34</v>
      </c>
      <c r="O41" s="4">
        <v>30</v>
      </c>
      <c r="P41" s="4">
        <v>36</v>
      </c>
      <c r="Q41" s="6">
        <v>26</v>
      </c>
      <c r="R41" s="4">
        <v>35</v>
      </c>
      <c r="S41" s="4">
        <v>23</v>
      </c>
      <c r="T41" s="4">
        <v>31</v>
      </c>
      <c r="U41" s="4">
        <v>37</v>
      </c>
      <c r="V41" s="4">
        <v>26</v>
      </c>
      <c r="W41" s="4">
        <v>36</v>
      </c>
      <c r="X41" s="4">
        <v>28</v>
      </c>
      <c r="Y41" s="4">
        <v>38</v>
      </c>
      <c r="Z41" s="4">
        <v>39</v>
      </c>
    </row>
    <row r="42" spans="1:26" ht="15.75">
      <c r="A42" s="3">
        <v>38</v>
      </c>
      <c r="B42" s="4">
        <v>26</v>
      </c>
      <c r="C42" s="4">
        <v>31</v>
      </c>
      <c r="D42" s="4">
        <v>32</v>
      </c>
      <c r="E42" s="4">
        <v>25</v>
      </c>
      <c r="F42" s="4">
        <v>30</v>
      </c>
      <c r="G42" s="4">
        <v>33</v>
      </c>
      <c r="H42" s="4">
        <v>34</v>
      </c>
      <c r="I42" s="4">
        <v>26</v>
      </c>
      <c r="J42" s="4">
        <v>30</v>
      </c>
      <c r="K42" s="4">
        <v>12</v>
      </c>
      <c r="L42" s="4">
        <v>29</v>
      </c>
      <c r="M42" s="4">
        <v>33</v>
      </c>
      <c r="N42" s="4">
        <v>34</v>
      </c>
      <c r="O42" s="4">
        <v>35</v>
      </c>
      <c r="P42" s="4">
        <v>36</v>
      </c>
      <c r="Q42" s="6">
        <v>31</v>
      </c>
      <c r="R42" s="4">
        <v>35</v>
      </c>
      <c r="S42" s="4">
        <v>23</v>
      </c>
      <c r="T42" s="4">
        <v>31</v>
      </c>
      <c r="U42" s="4">
        <v>37</v>
      </c>
      <c r="V42" s="4">
        <v>26</v>
      </c>
      <c r="W42" s="4">
        <v>36</v>
      </c>
      <c r="X42" s="4">
        <v>28</v>
      </c>
      <c r="Y42" s="4">
        <v>38</v>
      </c>
      <c r="Z42" s="4">
        <v>39</v>
      </c>
    </row>
    <row r="43" spans="1:26" ht="15.75">
      <c r="A43" s="3">
        <v>39</v>
      </c>
      <c r="B43" s="4">
        <v>27</v>
      </c>
      <c r="C43" s="4">
        <v>31</v>
      </c>
      <c r="D43" s="4">
        <v>33</v>
      </c>
      <c r="E43" s="4">
        <v>25</v>
      </c>
      <c r="F43" s="4">
        <v>31</v>
      </c>
      <c r="G43" s="4">
        <v>34</v>
      </c>
      <c r="H43" s="4">
        <v>34</v>
      </c>
      <c r="I43" s="4">
        <v>27</v>
      </c>
      <c r="J43" s="4">
        <v>30</v>
      </c>
      <c r="K43" s="4">
        <v>12</v>
      </c>
      <c r="L43" s="4">
        <v>29</v>
      </c>
      <c r="M43" s="4">
        <v>33</v>
      </c>
      <c r="N43" s="4">
        <v>34</v>
      </c>
      <c r="O43" s="4">
        <v>35</v>
      </c>
      <c r="P43" s="4">
        <v>36</v>
      </c>
      <c r="Q43" s="6">
        <v>31</v>
      </c>
      <c r="R43" s="4">
        <v>36</v>
      </c>
      <c r="S43" s="4">
        <v>24</v>
      </c>
      <c r="T43" s="4">
        <v>31</v>
      </c>
      <c r="U43" s="4">
        <v>37</v>
      </c>
      <c r="V43" s="4">
        <v>26</v>
      </c>
      <c r="W43" s="4">
        <v>36</v>
      </c>
      <c r="X43" s="4">
        <v>28</v>
      </c>
      <c r="Y43" s="4">
        <v>38</v>
      </c>
      <c r="Z43" s="4">
        <v>39</v>
      </c>
    </row>
    <row r="44" spans="1:26" ht="15.75">
      <c r="A44" s="3">
        <v>40</v>
      </c>
      <c r="B44" s="4">
        <v>31</v>
      </c>
      <c r="C44" s="4">
        <v>32</v>
      </c>
      <c r="D44" s="4">
        <v>37</v>
      </c>
      <c r="E44" s="4">
        <v>25</v>
      </c>
      <c r="F44" s="4">
        <v>36</v>
      </c>
      <c r="G44" s="4">
        <v>34</v>
      </c>
      <c r="H44" s="4">
        <v>34</v>
      </c>
      <c r="I44" s="4">
        <v>39</v>
      </c>
      <c r="J44" s="4">
        <v>37</v>
      </c>
      <c r="K44" s="4">
        <v>13</v>
      </c>
      <c r="L44" s="4">
        <v>33</v>
      </c>
      <c r="M44" s="4">
        <v>33</v>
      </c>
      <c r="N44" s="4">
        <v>34</v>
      </c>
      <c r="O44" s="4">
        <v>35</v>
      </c>
      <c r="P44" s="4">
        <v>36</v>
      </c>
      <c r="Q44" s="6">
        <v>31</v>
      </c>
      <c r="R44" s="4">
        <v>42</v>
      </c>
      <c r="S44" s="4">
        <v>30</v>
      </c>
      <c r="T44" s="4">
        <v>35</v>
      </c>
      <c r="U44" s="4">
        <v>37</v>
      </c>
      <c r="V44" s="4">
        <v>26</v>
      </c>
      <c r="W44" s="4">
        <v>36</v>
      </c>
      <c r="X44" s="4">
        <v>33</v>
      </c>
      <c r="Y44" s="4">
        <v>38</v>
      </c>
      <c r="Z44" s="4">
        <v>39</v>
      </c>
    </row>
    <row r="45" spans="1:26" ht="15.75">
      <c r="A45" s="3">
        <v>41</v>
      </c>
      <c r="B45" s="4">
        <v>31</v>
      </c>
      <c r="C45" s="4">
        <v>32</v>
      </c>
      <c r="D45" s="4">
        <v>37</v>
      </c>
      <c r="E45" s="4">
        <v>26</v>
      </c>
      <c r="F45" s="4">
        <v>36</v>
      </c>
      <c r="G45" s="4">
        <v>34</v>
      </c>
      <c r="H45" s="4">
        <v>34</v>
      </c>
      <c r="I45" s="4">
        <v>39</v>
      </c>
      <c r="J45" s="4">
        <v>38</v>
      </c>
      <c r="K45" s="4">
        <v>16</v>
      </c>
      <c r="L45" s="4">
        <v>33</v>
      </c>
      <c r="M45" s="4">
        <v>33</v>
      </c>
      <c r="N45" s="4">
        <v>34</v>
      </c>
      <c r="O45" s="4">
        <v>35</v>
      </c>
      <c r="P45" s="4">
        <v>36</v>
      </c>
      <c r="Q45" s="6">
        <v>31</v>
      </c>
      <c r="R45" s="4">
        <v>42</v>
      </c>
      <c r="S45" s="4">
        <v>30</v>
      </c>
      <c r="T45" s="4">
        <v>35</v>
      </c>
      <c r="U45" s="4">
        <v>37</v>
      </c>
      <c r="V45" s="4">
        <v>26</v>
      </c>
      <c r="W45" s="4">
        <v>36</v>
      </c>
      <c r="X45" s="4">
        <v>33</v>
      </c>
      <c r="Y45" s="4">
        <v>38</v>
      </c>
      <c r="Z45" s="4">
        <v>39</v>
      </c>
    </row>
    <row r="46" spans="1:26" ht="15.75">
      <c r="A46" s="3">
        <v>42</v>
      </c>
      <c r="B46" s="4">
        <v>31</v>
      </c>
      <c r="C46" s="4">
        <v>37</v>
      </c>
      <c r="D46" s="4">
        <v>37</v>
      </c>
      <c r="E46" s="4">
        <v>32</v>
      </c>
      <c r="F46" s="4">
        <v>36</v>
      </c>
      <c r="G46" s="4">
        <v>36</v>
      </c>
      <c r="H46" s="4">
        <v>34</v>
      </c>
      <c r="I46" s="4">
        <v>39</v>
      </c>
      <c r="J46" s="4">
        <v>38</v>
      </c>
      <c r="K46" s="4">
        <v>17</v>
      </c>
      <c r="L46" s="4">
        <v>33</v>
      </c>
      <c r="M46" s="4">
        <v>33</v>
      </c>
      <c r="N46" s="4">
        <v>39</v>
      </c>
      <c r="O46" s="4">
        <v>35</v>
      </c>
      <c r="P46" s="4">
        <v>36</v>
      </c>
      <c r="Q46" s="6">
        <v>31</v>
      </c>
      <c r="R46" s="4">
        <v>42</v>
      </c>
      <c r="S46" s="4">
        <v>30</v>
      </c>
      <c r="T46" s="4">
        <v>35</v>
      </c>
      <c r="U46" s="4">
        <v>37</v>
      </c>
      <c r="V46" s="4">
        <v>26</v>
      </c>
      <c r="W46" s="4">
        <v>36</v>
      </c>
      <c r="X46" s="4">
        <v>33</v>
      </c>
      <c r="Y46" s="4">
        <v>38</v>
      </c>
      <c r="Z46" s="4">
        <v>39</v>
      </c>
    </row>
    <row r="47" spans="1:26" ht="15.75">
      <c r="A47" s="3">
        <v>43</v>
      </c>
      <c r="B47" s="4">
        <v>31</v>
      </c>
      <c r="C47" s="4">
        <v>37</v>
      </c>
      <c r="D47" s="4">
        <v>37</v>
      </c>
      <c r="E47" s="4">
        <v>33</v>
      </c>
      <c r="F47" s="4">
        <v>36</v>
      </c>
      <c r="G47" s="4">
        <v>36</v>
      </c>
      <c r="H47" s="4">
        <v>34</v>
      </c>
      <c r="I47" s="4">
        <v>40</v>
      </c>
      <c r="J47" s="4">
        <v>38</v>
      </c>
      <c r="K47" s="4">
        <v>17</v>
      </c>
      <c r="L47" s="4">
        <v>33</v>
      </c>
      <c r="M47" s="4">
        <v>33</v>
      </c>
      <c r="N47" s="4">
        <v>39</v>
      </c>
      <c r="O47" s="4">
        <v>35</v>
      </c>
      <c r="P47" s="4">
        <v>42</v>
      </c>
      <c r="Q47" s="6">
        <v>31</v>
      </c>
      <c r="R47" s="4">
        <v>42</v>
      </c>
      <c r="S47" s="4">
        <v>30</v>
      </c>
      <c r="T47" s="4">
        <v>35</v>
      </c>
      <c r="U47" s="4">
        <v>37</v>
      </c>
      <c r="V47" s="4">
        <v>26</v>
      </c>
      <c r="W47" s="4">
        <v>36</v>
      </c>
      <c r="X47" s="4">
        <v>33</v>
      </c>
      <c r="Y47" s="4">
        <v>42</v>
      </c>
      <c r="Z47" s="4">
        <v>39</v>
      </c>
    </row>
    <row r="48" spans="1:26" ht="15.75">
      <c r="A48" s="3">
        <v>44</v>
      </c>
      <c r="B48" s="4">
        <v>31</v>
      </c>
      <c r="C48" s="4">
        <v>37</v>
      </c>
      <c r="D48" s="4">
        <v>37</v>
      </c>
      <c r="E48" s="4">
        <v>33</v>
      </c>
      <c r="F48" s="4">
        <v>36</v>
      </c>
      <c r="G48" s="4">
        <v>37</v>
      </c>
      <c r="H48" s="4">
        <v>34</v>
      </c>
      <c r="I48" s="4">
        <v>40</v>
      </c>
      <c r="J48" s="4">
        <v>38</v>
      </c>
      <c r="K48" s="4">
        <v>18</v>
      </c>
      <c r="L48" s="4">
        <v>33</v>
      </c>
      <c r="M48" s="4">
        <v>33</v>
      </c>
      <c r="N48" s="4">
        <v>39</v>
      </c>
      <c r="O48" s="4">
        <v>36</v>
      </c>
      <c r="P48" s="4">
        <v>42</v>
      </c>
      <c r="Q48" s="6">
        <v>32</v>
      </c>
      <c r="R48" s="4">
        <v>42</v>
      </c>
      <c r="S48" s="4">
        <v>30</v>
      </c>
      <c r="T48" s="4">
        <v>35</v>
      </c>
      <c r="U48" s="4">
        <v>37</v>
      </c>
      <c r="V48" s="4">
        <v>26</v>
      </c>
      <c r="W48" s="4">
        <v>36</v>
      </c>
      <c r="X48" s="4">
        <v>33</v>
      </c>
      <c r="Y48" s="4">
        <v>42</v>
      </c>
      <c r="Z48" s="4">
        <v>39</v>
      </c>
    </row>
    <row r="49" spans="1:26" ht="15.75">
      <c r="A49" s="3">
        <v>45</v>
      </c>
      <c r="B49" s="4">
        <v>31</v>
      </c>
      <c r="C49" s="4">
        <v>37</v>
      </c>
      <c r="D49" s="4">
        <v>40</v>
      </c>
      <c r="E49" s="4">
        <v>33</v>
      </c>
      <c r="F49" s="4">
        <v>36</v>
      </c>
      <c r="G49" s="4">
        <v>37</v>
      </c>
      <c r="H49" s="4">
        <v>34</v>
      </c>
      <c r="I49" s="4">
        <v>40</v>
      </c>
      <c r="J49" s="4">
        <v>38</v>
      </c>
      <c r="K49" s="4">
        <v>20</v>
      </c>
      <c r="L49" s="4">
        <v>33</v>
      </c>
      <c r="M49" s="4">
        <v>39</v>
      </c>
      <c r="N49" s="4">
        <v>39</v>
      </c>
      <c r="O49" s="4">
        <v>40</v>
      </c>
      <c r="P49" s="4">
        <v>42</v>
      </c>
      <c r="Q49" s="6">
        <v>37</v>
      </c>
      <c r="R49" s="4">
        <v>42</v>
      </c>
      <c r="S49" s="4">
        <v>30</v>
      </c>
      <c r="T49" s="4">
        <v>40</v>
      </c>
      <c r="U49" s="4">
        <v>37</v>
      </c>
      <c r="V49" s="4">
        <v>26</v>
      </c>
      <c r="W49" s="4">
        <v>36</v>
      </c>
      <c r="X49" s="4">
        <v>33</v>
      </c>
      <c r="Y49" s="4">
        <v>42</v>
      </c>
      <c r="Z49" s="4">
        <v>39</v>
      </c>
    </row>
    <row r="50" spans="1:26" ht="15.75">
      <c r="A50" s="3">
        <v>46</v>
      </c>
      <c r="B50" s="4">
        <v>32</v>
      </c>
      <c r="C50" s="4">
        <v>37</v>
      </c>
      <c r="D50" s="4">
        <v>40</v>
      </c>
      <c r="E50" s="4">
        <v>33</v>
      </c>
      <c r="F50" s="4">
        <v>37</v>
      </c>
      <c r="G50" s="4">
        <v>37</v>
      </c>
      <c r="H50" s="4">
        <v>34</v>
      </c>
      <c r="I50" s="4">
        <v>40</v>
      </c>
      <c r="J50" s="4">
        <v>38</v>
      </c>
      <c r="K50" s="4">
        <v>20</v>
      </c>
      <c r="L50" s="4">
        <v>33</v>
      </c>
      <c r="M50" s="4">
        <v>39</v>
      </c>
      <c r="N50" s="4">
        <v>39</v>
      </c>
      <c r="O50" s="4">
        <v>40</v>
      </c>
      <c r="P50" s="4">
        <v>42</v>
      </c>
      <c r="Q50" s="6">
        <v>37</v>
      </c>
      <c r="R50" s="4">
        <v>42</v>
      </c>
      <c r="S50" s="4">
        <v>30</v>
      </c>
      <c r="T50" s="4">
        <v>40</v>
      </c>
      <c r="U50" s="4">
        <v>37</v>
      </c>
      <c r="V50" s="4">
        <v>26</v>
      </c>
      <c r="W50" s="4">
        <v>36</v>
      </c>
      <c r="X50" s="4">
        <v>34</v>
      </c>
      <c r="Y50" s="4">
        <v>42</v>
      </c>
      <c r="Z50" s="4">
        <v>39</v>
      </c>
    </row>
    <row r="51" spans="1:26" ht="15.75">
      <c r="A51" s="3">
        <v>47</v>
      </c>
      <c r="B51" s="4">
        <v>36</v>
      </c>
      <c r="C51" s="4">
        <v>38</v>
      </c>
      <c r="D51" s="4">
        <v>40</v>
      </c>
      <c r="E51" s="4">
        <v>33</v>
      </c>
      <c r="F51" s="4">
        <v>40</v>
      </c>
      <c r="G51" s="4">
        <v>38</v>
      </c>
      <c r="H51" s="4">
        <v>35</v>
      </c>
      <c r="I51" s="4">
        <v>40</v>
      </c>
      <c r="J51" s="4">
        <v>38</v>
      </c>
      <c r="K51" s="4">
        <v>20</v>
      </c>
      <c r="L51" s="4">
        <v>38</v>
      </c>
      <c r="M51" s="4">
        <v>39</v>
      </c>
      <c r="N51" s="4">
        <v>39</v>
      </c>
      <c r="O51" s="4">
        <v>40</v>
      </c>
      <c r="P51" s="4">
        <v>42</v>
      </c>
      <c r="Q51" s="6">
        <v>37</v>
      </c>
      <c r="R51" s="4">
        <v>42</v>
      </c>
      <c r="S51" s="4">
        <v>30</v>
      </c>
      <c r="T51" s="4">
        <v>40</v>
      </c>
      <c r="U51" s="4">
        <v>37</v>
      </c>
      <c r="V51" s="4">
        <v>26</v>
      </c>
      <c r="W51" s="4">
        <v>37</v>
      </c>
      <c r="X51" s="4">
        <v>39</v>
      </c>
      <c r="Y51" s="4">
        <v>42</v>
      </c>
      <c r="Z51" s="4">
        <v>39</v>
      </c>
    </row>
    <row r="52" spans="1:26" ht="15.75">
      <c r="A52" s="3">
        <v>48</v>
      </c>
      <c r="B52" s="4">
        <v>36</v>
      </c>
      <c r="C52" s="4">
        <v>41</v>
      </c>
      <c r="D52" s="4">
        <v>40</v>
      </c>
      <c r="E52" s="4">
        <v>38</v>
      </c>
      <c r="F52" s="4">
        <v>41</v>
      </c>
      <c r="G52" s="4">
        <v>41</v>
      </c>
      <c r="H52" s="4">
        <v>43</v>
      </c>
      <c r="I52" s="4">
        <v>40</v>
      </c>
      <c r="J52" s="4">
        <v>38</v>
      </c>
      <c r="K52" s="4">
        <v>21</v>
      </c>
      <c r="L52" s="4">
        <v>38</v>
      </c>
      <c r="M52" s="4">
        <v>39</v>
      </c>
      <c r="N52" s="4">
        <v>43</v>
      </c>
      <c r="O52" s="4">
        <v>40</v>
      </c>
      <c r="P52" s="4">
        <v>42</v>
      </c>
      <c r="Q52" s="6">
        <v>37</v>
      </c>
      <c r="R52" s="4">
        <v>42</v>
      </c>
      <c r="S52" s="4">
        <v>30</v>
      </c>
      <c r="T52" s="4">
        <v>40</v>
      </c>
      <c r="U52" s="4">
        <v>37</v>
      </c>
      <c r="V52" s="4">
        <v>26</v>
      </c>
      <c r="W52" s="4">
        <v>42</v>
      </c>
      <c r="X52" s="4">
        <v>39</v>
      </c>
      <c r="Y52" s="4">
        <v>42</v>
      </c>
      <c r="Z52" s="4">
        <v>39</v>
      </c>
    </row>
    <row r="53" spans="1:26" ht="15.75">
      <c r="A53" s="3">
        <v>49</v>
      </c>
      <c r="B53" s="4">
        <v>36</v>
      </c>
      <c r="C53" s="4">
        <v>42</v>
      </c>
      <c r="D53" s="4">
        <v>40</v>
      </c>
      <c r="E53" s="4">
        <v>38</v>
      </c>
      <c r="F53" s="4">
        <v>41</v>
      </c>
      <c r="G53" s="4">
        <v>41</v>
      </c>
      <c r="H53" s="4">
        <v>43</v>
      </c>
      <c r="I53" s="4">
        <v>40</v>
      </c>
      <c r="J53" s="4">
        <v>39</v>
      </c>
      <c r="K53" s="4">
        <v>26</v>
      </c>
      <c r="L53" s="4">
        <v>38</v>
      </c>
      <c r="M53" s="4">
        <v>39</v>
      </c>
      <c r="N53" s="4">
        <v>43</v>
      </c>
      <c r="O53" s="4">
        <v>40</v>
      </c>
      <c r="P53" s="4">
        <v>42</v>
      </c>
      <c r="Q53" s="6">
        <v>37</v>
      </c>
      <c r="R53" s="4">
        <v>42</v>
      </c>
      <c r="S53" s="4">
        <v>32</v>
      </c>
      <c r="T53" s="4">
        <v>41</v>
      </c>
      <c r="U53" s="4">
        <v>37</v>
      </c>
      <c r="V53" s="4">
        <v>26</v>
      </c>
      <c r="W53" s="4">
        <v>43</v>
      </c>
      <c r="X53" s="4">
        <v>39</v>
      </c>
      <c r="Y53" s="4">
        <v>42</v>
      </c>
      <c r="Z53" s="4">
        <v>39</v>
      </c>
    </row>
    <row r="54" spans="1:26" ht="15.75">
      <c r="A54" s="3">
        <v>50</v>
      </c>
      <c r="B54" s="4">
        <v>36</v>
      </c>
      <c r="C54" s="4">
        <v>42</v>
      </c>
      <c r="D54" s="4">
        <v>44</v>
      </c>
      <c r="E54" s="4">
        <v>39</v>
      </c>
      <c r="F54" s="4">
        <v>41</v>
      </c>
      <c r="G54" s="4">
        <v>41</v>
      </c>
      <c r="H54" s="4">
        <v>43</v>
      </c>
      <c r="I54" s="4">
        <v>40</v>
      </c>
      <c r="J54" s="4">
        <v>44</v>
      </c>
      <c r="K54" s="4">
        <v>26</v>
      </c>
      <c r="L54" s="4">
        <v>38</v>
      </c>
      <c r="M54" s="4">
        <v>39</v>
      </c>
      <c r="N54" s="4">
        <v>43</v>
      </c>
      <c r="O54" s="4">
        <v>40</v>
      </c>
      <c r="P54" s="4">
        <v>42</v>
      </c>
      <c r="Q54" s="6">
        <v>37</v>
      </c>
      <c r="R54" s="4">
        <v>46</v>
      </c>
      <c r="S54" s="4">
        <v>38</v>
      </c>
      <c r="T54" s="4">
        <v>45</v>
      </c>
      <c r="U54" s="4">
        <v>37</v>
      </c>
      <c r="V54" s="4">
        <v>26</v>
      </c>
      <c r="W54" s="4">
        <v>43</v>
      </c>
      <c r="X54" s="4">
        <v>39</v>
      </c>
      <c r="Y54" s="4">
        <v>43</v>
      </c>
      <c r="Z54" s="4">
        <v>39</v>
      </c>
    </row>
    <row r="55" spans="1:26" ht="15.75">
      <c r="A55" s="3">
        <v>51</v>
      </c>
      <c r="B55" s="4">
        <v>36</v>
      </c>
      <c r="C55" s="4">
        <v>42</v>
      </c>
      <c r="D55" s="4">
        <v>44</v>
      </c>
      <c r="E55" s="4">
        <v>39</v>
      </c>
      <c r="F55" s="4">
        <v>41</v>
      </c>
      <c r="G55" s="4">
        <v>41</v>
      </c>
      <c r="H55" s="4">
        <v>43</v>
      </c>
      <c r="I55" s="4">
        <v>40</v>
      </c>
      <c r="J55" s="4">
        <v>44</v>
      </c>
      <c r="K55" s="4">
        <v>27</v>
      </c>
      <c r="L55" s="4">
        <v>38</v>
      </c>
      <c r="M55" s="4">
        <v>39</v>
      </c>
      <c r="N55" s="4">
        <v>43</v>
      </c>
      <c r="O55" s="4">
        <v>40</v>
      </c>
      <c r="P55" s="4">
        <v>47</v>
      </c>
      <c r="Q55" s="6">
        <v>37</v>
      </c>
      <c r="R55" s="4">
        <v>46</v>
      </c>
      <c r="S55" s="4">
        <v>39</v>
      </c>
      <c r="T55" s="4">
        <v>45</v>
      </c>
      <c r="U55" s="4">
        <v>37</v>
      </c>
      <c r="V55" s="4">
        <v>26</v>
      </c>
      <c r="W55" s="4">
        <v>43</v>
      </c>
      <c r="X55" s="4">
        <v>39</v>
      </c>
      <c r="Y55" s="4">
        <v>46</v>
      </c>
      <c r="Z55" s="4">
        <v>39</v>
      </c>
    </row>
    <row r="56" spans="1:26" ht="15.75">
      <c r="A56" s="3">
        <v>52</v>
      </c>
      <c r="B56" s="4">
        <v>37</v>
      </c>
      <c r="C56" s="4">
        <v>42</v>
      </c>
      <c r="D56" s="4">
        <v>44</v>
      </c>
      <c r="E56" s="4">
        <v>39</v>
      </c>
      <c r="F56" s="4">
        <v>42</v>
      </c>
      <c r="G56" s="4">
        <v>42</v>
      </c>
      <c r="H56" s="4">
        <v>43</v>
      </c>
      <c r="I56" s="4">
        <v>40</v>
      </c>
      <c r="J56" s="4">
        <v>44</v>
      </c>
      <c r="K56" s="4">
        <v>28</v>
      </c>
      <c r="L56" s="4">
        <v>39</v>
      </c>
      <c r="M56" s="4">
        <v>40</v>
      </c>
      <c r="N56" s="4">
        <v>43</v>
      </c>
      <c r="O56" s="4">
        <v>40</v>
      </c>
      <c r="P56" s="4">
        <v>47</v>
      </c>
      <c r="Q56" s="6">
        <v>38</v>
      </c>
      <c r="R56" s="4">
        <v>46</v>
      </c>
      <c r="S56" s="4">
        <v>39</v>
      </c>
      <c r="T56" s="4">
        <v>45</v>
      </c>
      <c r="U56" s="4">
        <v>37</v>
      </c>
      <c r="V56" s="4">
        <v>26</v>
      </c>
      <c r="W56" s="4">
        <v>43</v>
      </c>
      <c r="X56" s="4">
        <v>40</v>
      </c>
      <c r="Y56" s="4">
        <v>46</v>
      </c>
      <c r="Z56" s="4">
        <v>39</v>
      </c>
    </row>
    <row r="57" spans="1:26" ht="15.75">
      <c r="A57" s="3">
        <v>53</v>
      </c>
      <c r="B57" s="4">
        <v>42</v>
      </c>
      <c r="C57" s="4">
        <v>43</v>
      </c>
      <c r="D57" s="4">
        <v>44</v>
      </c>
      <c r="E57" s="4">
        <v>39</v>
      </c>
      <c r="F57" s="4">
        <v>45</v>
      </c>
      <c r="G57" s="4">
        <v>43</v>
      </c>
      <c r="H57" s="4">
        <v>43</v>
      </c>
      <c r="I57" s="4">
        <v>40</v>
      </c>
      <c r="J57" s="4">
        <v>44</v>
      </c>
      <c r="K57" s="4">
        <v>31</v>
      </c>
      <c r="L57" s="4">
        <v>43</v>
      </c>
      <c r="M57" s="4">
        <v>45</v>
      </c>
      <c r="N57" s="4">
        <v>43</v>
      </c>
      <c r="O57" s="4">
        <v>45</v>
      </c>
      <c r="P57" s="4">
        <v>47</v>
      </c>
      <c r="Q57" s="6">
        <v>45</v>
      </c>
      <c r="R57" s="4">
        <v>46</v>
      </c>
      <c r="S57" s="4">
        <v>39</v>
      </c>
      <c r="T57" s="4">
        <v>45</v>
      </c>
      <c r="U57" s="4">
        <v>37</v>
      </c>
      <c r="V57" s="4">
        <v>26</v>
      </c>
      <c r="W57" s="4">
        <v>43</v>
      </c>
      <c r="X57" s="4">
        <v>45</v>
      </c>
      <c r="Y57" s="4">
        <v>46</v>
      </c>
      <c r="Z57" s="4">
        <v>39</v>
      </c>
    </row>
    <row r="58" spans="1:26" ht="15.75">
      <c r="A58" s="3">
        <v>54</v>
      </c>
      <c r="B58" s="4">
        <v>42</v>
      </c>
      <c r="C58" s="4">
        <v>46</v>
      </c>
      <c r="D58" s="4">
        <v>44</v>
      </c>
      <c r="E58" s="4">
        <v>44</v>
      </c>
      <c r="F58" s="4">
        <v>45</v>
      </c>
      <c r="G58" s="4">
        <v>46</v>
      </c>
      <c r="H58" s="4">
        <v>43</v>
      </c>
      <c r="I58" s="4">
        <v>40</v>
      </c>
      <c r="J58" s="4">
        <v>44</v>
      </c>
      <c r="K58" s="4">
        <v>31</v>
      </c>
      <c r="L58" s="4">
        <v>43</v>
      </c>
      <c r="M58" s="4">
        <v>45</v>
      </c>
      <c r="N58" s="4">
        <v>47</v>
      </c>
      <c r="O58" s="4">
        <v>45</v>
      </c>
      <c r="P58" s="4">
        <v>47</v>
      </c>
      <c r="Q58" s="6">
        <v>45</v>
      </c>
      <c r="R58" s="4">
        <v>46</v>
      </c>
      <c r="S58" s="4">
        <v>39</v>
      </c>
      <c r="T58" s="4">
        <v>45</v>
      </c>
      <c r="U58" s="4">
        <v>37</v>
      </c>
      <c r="V58" s="4">
        <v>26</v>
      </c>
      <c r="W58" s="4">
        <v>43</v>
      </c>
      <c r="X58" s="4">
        <v>45</v>
      </c>
      <c r="Y58" s="4">
        <v>46</v>
      </c>
      <c r="Z58" s="4">
        <v>39</v>
      </c>
    </row>
    <row r="59" spans="1:26" ht="15.75">
      <c r="A59" s="3">
        <v>55</v>
      </c>
      <c r="B59" s="4">
        <v>42</v>
      </c>
      <c r="C59" s="4">
        <v>46</v>
      </c>
      <c r="D59" s="4">
        <v>47</v>
      </c>
      <c r="E59" s="4">
        <v>45</v>
      </c>
      <c r="F59" s="4">
        <v>46</v>
      </c>
      <c r="G59" s="4">
        <v>46</v>
      </c>
      <c r="H59" s="4">
        <v>43</v>
      </c>
      <c r="I59" s="4">
        <v>40</v>
      </c>
      <c r="J59" s="4">
        <v>44</v>
      </c>
      <c r="K59" s="4">
        <v>33</v>
      </c>
      <c r="L59" s="4">
        <v>43</v>
      </c>
      <c r="M59" s="4">
        <v>45</v>
      </c>
      <c r="N59" s="4">
        <v>47</v>
      </c>
      <c r="O59" s="4">
        <v>45</v>
      </c>
      <c r="P59" s="4">
        <v>47</v>
      </c>
      <c r="Q59" s="6">
        <v>45</v>
      </c>
      <c r="R59" s="4">
        <v>46</v>
      </c>
      <c r="S59" s="4">
        <v>39</v>
      </c>
      <c r="T59" s="4">
        <v>48</v>
      </c>
      <c r="U59" s="4">
        <v>37</v>
      </c>
      <c r="V59" s="4">
        <v>26</v>
      </c>
      <c r="W59" s="4">
        <v>43</v>
      </c>
      <c r="X59" s="4">
        <v>45</v>
      </c>
      <c r="Y59" s="4">
        <v>46</v>
      </c>
      <c r="Z59" s="4">
        <v>39</v>
      </c>
    </row>
    <row r="60" spans="1:26" ht="15.75">
      <c r="A60" s="3">
        <v>56</v>
      </c>
      <c r="B60" s="4">
        <v>42</v>
      </c>
      <c r="C60" s="4">
        <v>46</v>
      </c>
      <c r="D60" s="4">
        <v>47</v>
      </c>
      <c r="E60" s="4">
        <v>45</v>
      </c>
      <c r="F60" s="4">
        <v>46</v>
      </c>
      <c r="G60" s="4">
        <v>46</v>
      </c>
      <c r="H60" s="4">
        <v>43</v>
      </c>
      <c r="I60" s="4">
        <v>40</v>
      </c>
      <c r="J60" s="4">
        <v>44</v>
      </c>
      <c r="K60" s="4">
        <v>40</v>
      </c>
      <c r="L60" s="4">
        <v>43</v>
      </c>
      <c r="M60" s="4">
        <v>45</v>
      </c>
      <c r="N60" s="4">
        <v>47</v>
      </c>
      <c r="O60" s="4">
        <v>45</v>
      </c>
      <c r="P60" s="4">
        <v>47</v>
      </c>
      <c r="Q60" s="6">
        <v>45</v>
      </c>
      <c r="R60" s="4">
        <v>46</v>
      </c>
      <c r="S60" s="4">
        <v>39</v>
      </c>
      <c r="T60" s="4">
        <v>48</v>
      </c>
      <c r="U60" s="4">
        <v>37</v>
      </c>
      <c r="V60" s="4">
        <v>26</v>
      </c>
      <c r="W60" s="4">
        <v>43</v>
      </c>
      <c r="X60" s="4">
        <v>45</v>
      </c>
      <c r="Y60" s="4">
        <v>46</v>
      </c>
      <c r="Z60" s="4">
        <v>39</v>
      </c>
    </row>
    <row r="61" spans="1:26" ht="15.75">
      <c r="A61" s="3">
        <v>57</v>
      </c>
      <c r="B61" s="4">
        <v>42</v>
      </c>
      <c r="C61" s="4">
        <v>46</v>
      </c>
      <c r="D61" s="4">
        <v>47</v>
      </c>
      <c r="E61" s="4">
        <v>45</v>
      </c>
      <c r="F61" s="4">
        <v>46</v>
      </c>
      <c r="G61" s="4">
        <v>46</v>
      </c>
      <c r="H61" s="4">
        <v>43</v>
      </c>
      <c r="I61" s="4">
        <v>40</v>
      </c>
      <c r="J61" s="4">
        <v>44</v>
      </c>
      <c r="K61" s="4">
        <v>40</v>
      </c>
      <c r="L61" s="4">
        <v>43</v>
      </c>
      <c r="M61" s="4">
        <v>45</v>
      </c>
      <c r="N61" s="4">
        <v>47</v>
      </c>
      <c r="O61" s="4">
        <v>45</v>
      </c>
      <c r="P61" s="4">
        <v>47</v>
      </c>
      <c r="Q61" s="6">
        <v>45</v>
      </c>
      <c r="R61" s="4">
        <v>46</v>
      </c>
      <c r="S61" s="4">
        <v>39</v>
      </c>
      <c r="T61" s="4">
        <v>48</v>
      </c>
      <c r="U61" s="4">
        <v>37</v>
      </c>
      <c r="V61" s="4">
        <v>26</v>
      </c>
      <c r="W61" s="4">
        <v>43</v>
      </c>
      <c r="X61" s="4">
        <v>45</v>
      </c>
      <c r="Y61" s="4">
        <v>46</v>
      </c>
      <c r="Z61" s="4">
        <v>39</v>
      </c>
    </row>
    <row r="62" spans="1:26" ht="15.75">
      <c r="A62" s="3">
        <v>58</v>
      </c>
      <c r="B62" s="4">
        <v>42</v>
      </c>
      <c r="C62" s="4">
        <v>46</v>
      </c>
      <c r="D62" s="4">
        <v>47</v>
      </c>
      <c r="E62" s="4">
        <v>45</v>
      </c>
      <c r="F62" s="4">
        <v>46</v>
      </c>
      <c r="G62" s="4">
        <v>47</v>
      </c>
      <c r="H62" s="4">
        <v>43</v>
      </c>
      <c r="I62" s="4">
        <v>40</v>
      </c>
      <c r="J62" s="4">
        <v>44</v>
      </c>
      <c r="K62" s="4">
        <v>41</v>
      </c>
      <c r="L62" s="4">
        <v>43</v>
      </c>
      <c r="M62" s="4">
        <v>45</v>
      </c>
      <c r="N62" s="4">
        <v>47</v>
      </c>
      <c r="O62" s="4">
        <v>45</v>
      </c>
      <c r="P62" s="4">
        <v>47</v>
      </c>
      <c r="Q62" s="6">
        <v>45</v>
      </c>
      <c r="R62" s="4">
        <v>46</v>
      </c>
      <c r="S62" s="4">
        <v>39</v>
      </c>
      <c r="T62" s="4">
        <v>48</v>
      </c>
      <c r="U62" s="4">
        <v>38</v>
      </c>
      <c r="V62" s="4">
        <v>26</v>
      </c>
      <c r="W62" s="4">
        <v>43</v>
      </c>
      <c r="X62" s="4">
        <v>45</v>
      </c>
      <c r="Y62" s="4">
        <v>46</v>
      </c>
      <c r="Z62" s="4">
        <v>39</v>
      </c>
    </row>
    <row r="63" spans="1:26" ht="15.75">
      <c r="A63" s="3">
        <v>59</v>
      </c>
      <c r="B63" s="4">
        <v>43</v>
      </c>
      <c r="C63" s="4">
        <v>47</v>
      </c>
      <c r="D63" s="4">
        <v>47</v>
      </c>
      <c r="E63" s="4">
        <v>46</v>
      </c>
      <c r="F63" s="4">
        <v>47</v>
      </c>
      <c r="G63" s="4">
        <v>48</v>
      </c>
      <c r="H63" s="4">
        <v>44</v>
      </c>
      <c r="I63" s="4">
        <v>42</v>
      </c>
      <c r="J63" s="4">
        <v>46</v>
      </c>
      <c r="K63" s="4">
        <v>43</v>
      </c>
      <c r="L63" s="4">
        <v>43</v>
      </c>
      <c r="M63" s="4">
        <v>46</v>
      </c>
      <c r="N63" s="4">
        <v>48</v>
      </c>
      <c r="O63" s="4">
        <v>45</v>
      </c>
      <c r="P63" s="4">
        <v>48</v>
      </c>
      <c r="Q63" s="6">
        <v>46</v>
      </c>
      <c r="R63" s="4">
        <v>47</v>
      </c>
      <c r="S63" s="4">
        <v>41</v>
      </c>
      <c r="T63" s="4">
        <v>48</v>
      </c>
      <c r="U63" s="4">
        <v>45</v>
      </c>
      <c r="V63" s="4">
        <v>30</v>
      </c>
      <c r="W63" s="4">
        <v>44</v>
      </c>
      <c r="X63" s="4">
        <v>45</v>
      </c>
      <c r="Y63" s="4">
        <v>46</v>
      </c>
      <c r="Z63" s="4">
        <v>40</v>
      </c>
    </row>
    <row r="64" spans="1:26" ht="15.75">
      <c r="A64" s="3">
        <v>60</v>
      </c>
      <c r="B64" s="4">
        <v>48</v>
      </c>
      <c r="C64" s="4">
        <v>50</v>
      </c>
      <c r="D64" s="4">
        <v>51</v>
      </c>
      <c r="E64" s="4">
        <v>51</v>
      </c>
      <c r="F64" s="4">
        <v>50</v>
      </c>
      <c r="G64" s="4">
        <v>51</v>
      </c>
      <c r="H64" s="4">
        <v>49</v>
      </c>
      <c r="I64" s="4">
        <v>50</v>
      </c>
      <c r="J64" s="4">
        <v>52</v>
      </c>
      <c r="K64" s="4">
        <v>47</v>
      </c>
      <c r="L64" s="4">
        <v>48</v>
      </c>
      <c r="M64" s="4">
        <v>51</v>
      </c>
      <c r="N64" s="4">
        <v>51</v>
      </c>
      <c r="O64" s="4">
        <v>49</v>
      </c>
      <c r="P64" s="4">
        <v>52</v>
      </c>
      <c r="Q64" s="6">
        <v>51</v>
      </c>
      <c r="R64" s="4">
        <v>50</v>
      </c>
      <c r="S64" s="4">
        <v>48</v>
      </c>
      <c r="T64" s="4">
        <v>50</v>
      </c>
      <c r="U64" s="4">
        <v>65</v>
      </c>
      <c r="V64" s="4">
        <v>48</v>
      </c>
      <c r="W64" s="4">
        <v>50</v>
      </c>
      <c r="X64" s="4">
        <v>49</v>
      </c>
      <c r="Y64" s="4">
        <v>49</v>
      </c>
      <c r="Z64" s="4">
        <v>51</v>
      </c>
    </row>
    <row r="65" spans="1:26" ht="15.75">
      <c r="A65" s="3">
        <v>61</v>
      </c>
      <c r="B65" s="4">
        <v>48</v>
      </c>
      <c r="C65" s="4">
        <v>50</v>
      </c>
      <c r="D65" s="4">
        <v>51</v>
      </c>
      <c r="E65" s="4">
        <v>51</v>
      </c>
      <c r="F65" s="4">
        <v>50</v>
      </c>
      <c r="G65" s="4">
        <v>55</v>
      </c>
      <c r="H65" s="4">
        <v>51</v>
      </c>
      <c r="I65" s="4">
        <v>52</v>
      </c>
      <c r="J65" s="4">
        <v>53</v>
      </c>
      <c r="K65" s="4">
        <v>47</v>
      </c>
      <c r="L65" s="4">
        <v>48</v>
      </c>
      <c r="M65" s="4">
        <v>51</v>
      </c>
      <c r="N65" s="4">
        <v>52</v>
      </c>
      <c r="O65" s="4">
        <v>49</v>
      </c>
      <c r="P65" s="4">
        <v>52</v>
      </c>
      <c r="Q65" s="6">
        <v>51</v>
      </c>
      <c r="R65" s="4">
        <v>50</v>
      </c>
      <c r="S65" s="4">
        <v>48</v>
      </c>
      <c r="T65" s="4">
        <v>50</v>
      </c>
      <c r="U65" s="4">
        <v>65</v>
      </c>
      <c r="V65" s="4">
        <v>52</v>
      </c>
      <c r="W65" s="4">
        <v>51</v>
      </c>
      <c r="X65" s="4">
        <v>50</v>
      </c>
      <c r="Y65" s="4">
        <v>49</v>
      </c>
      <c r="Z65" s="4">
        <v>53</v>
      </c>
    </row>
    <row r="66" spans="1:26" ht="15.75">
      <c r="A66" s="3">
        <v>62</v>
      </c>
      <c r="B66" s="4">
        <v>49</v>
      </c>
      <c r="C66" s="4">
        <v>50</v>
      </c>
      <c r="D66" s="4">
        <v>51</v>
      </c>
      <c r="E66" s="4">
        <v>51</v>
      </c>
      <c r="F66" s="4">
        <v>52</v>
      </c>
      <c r="G66" s="4">
        <v>55</v>
      </c>
      <c r="H66" s="4">
        <v>56</v>
      </c>
      <c r="I66" s="4">
        <v>60</v>
      </c>
      <c r="J66" s="4">
        <v>60</v>
      </c>
      <c r="K66" s="4">
        <v>47</v>
      </c>
      <c r="L66" s="4">
        <v>52</v>
      </c>
      <c r="M66" s="4">
        <v>56</v>
      </c>
      <c r="N66" s="4">
        <v>56</v>
      </c>
      <c r="O66" s="4">
        <v>53</v>
      </c>
      <c r="P66" s="4">
        <v>53</v>
      </c>
      <c r="Q66" s="6">
        <v>52</v>
      </c>
      <c r="R66" s="4">
        <v>50</v>
      </c>
      <c r="S66" s="4">
        <v>49</v>
      </c>
      <c r="T66" s="4">
        <v>50</v>
      </c>
      <c r="U66" s="4">
        <v>65</v>
      </c>
      <c r="V66" s="4">
        <v>61</v>
      </c>
      <c r="W66" s="4">
        <v>55</v>
      </c>
      <c r="X66" s="4">
        <v>56</v>
      </c>
      <c r="Y66" s="4">
        <v>52</v>
      </c>
      <c r="Z66" s="4">
        <v>61</v>
      </c>
    </row>
    <row r="67" spans="1:26" ht="15.75">
      <c r="A67" s="3">
        <v>63</v>
      </c>
      <c r="B67" s="4">
        <v>54</v>
      </c>
      <c r="C67" s="4">
        <v>50</v>
      </c>
      <c r="D67" s="4">
        <v>51</v>
      </c>
      <c r="E67" s="4">
        <v>51</v>
      </c>
      <c r="F67" s="4">
        <v>56</v>
      </c>
      <c r="G67" s="4">
        <v>60</v>
      </c>
      <c r="H67" s="4">
        <v>57</v>
      </c>
      <c r="I67" s="4">
        <v>62</v>
      </c>
      <c r="J67" s="4">
        <v>64</v>
      </c>
      <c r="K67" s="4">
        <v>49</v>
      </c>
      <c r="L67" s="4">
        <v>53</v>
      </c>
      <c r="M67" s="4">
        <v>60</v>
      </c>
      <c r="N67" s="4">
        <v>59</v>
      </c>
      <c r="O67" s="4">
        <v>53</v>
      </c>
      <c r="P67" s="4">
        <v>57</v>
      </c>
      <c r="Q67" s="6">
        <v>52</v>
      </c>
      <c r="R67" s="4">
        <v>52</v>
      </c>
      <c r="S67" s="4">
        <v>55</v>
      </c>
      <c r="T67" s="4">
        <v>53</v>
      </c>
      <c r="U67" s="4">
        <v>65</v>
      </c>
      <c r="V67" s="4">
        <v>64</v>
      </c>
      <c r="W67" s="4">
        <v>56</v>
      </c>
      <c r="X67" s="4">
        <v>57</v>
      </c>
      <c r="Y67" s="4">
        <v>53</v>
      </c>
      <c r="Z67" s="4">
        <v>63</v>
      </c>
    </row>
    <row r="68" spans="1:26" ht="15.75">
      <c r="A68" s="3">
        <v>64</v>
      </c>
      <c r="B68" s="4">
        <v>56</v>
      </c>
      <c r="C68" s="4">
        <v>50</v>
      </c>
      <c r="D68" s="4">
        <v>51</v>
      </c>
      <c r="E68" s="4">
        <v>51</v>
      </c>
      <c r="F68" s="4">
        <v>58</v>
      </c>
      <c r="G68" s="4">
        <v>63</v>
      </c>
      <c r="H68" s="4">
        <v>61</v>
      </c>
      <c r="I68" s="4">
        <v>67</v>
      </c>
      <c r="J68" s="4">
        <v>66</v>
      </c>
      <c r="K68" s="4">
        <v>59</v>
      </c>
      <c r="L68" s="4">
        <v>57</v>
      </c>
      <c r="M68" s="4">
        <v>61</v>
      </c>
      <c r="N68" s="4">
        <v>60</v>
      </c>
      <c r="O68" s="4">
        <v>57</v>
      </c>
      <c r="P68" s="4">
        <v>57</v>
      </c>
      <c r="Q68" s="6">
        <v>52</v>
      </c>
      <c r="R68" s="4">
        <v>56</v>
      </c>
      <c r="S68" s="4">
        <v>55</v>
      </c>
      <c r="T68" s="4">
        <v>53</v>
      </c>
      <c r="U68" s="4">
        <v>65</v>
      </c>
      <c r="V68" s="4">
        <v>72</v>
      </c>
      <c r="W68" s="4">
        <v>60</v>
      </c>
      <c r="X68" s="4">
        <v>61</v>
      </c>
      <c r="Y68" s="4">
        <v>55</v>
      </c>
      <c r="Z68" s="4">
        <v>69</v>
      </c>
    </row>
    <row r="69" spans="1:26" ht="15.75">
      <c r="A69" s="3">
        <v>65</v>
      </c>
      <c r="B69" s="4">
        <v>61</v>
      </c>
      <c r="C69" s="4">
        <v>50</v>
      </c>
      <c r="D69" s="4">
        <v>54</v>
      </c>
      <c r="E69" s="4">
        <v>51</v>
      </c>
      <c r="F69" s="4">
        <v>62</v>
      </c>
      <c r="G69" s="4">
        <v>66</v>
      </c>
      <c r="H69" s="4">
        <v>63</v>
      </c>
      <c r="I69" s="4">
        <v>69</v>
      </c>
      <c r="J69" s="4">
        <v>70</v>
      </c>
      <c r="K69" s="4">
        <v>59</v>
      </c>
      <c r="L69" s="4">
        <v>58</v>
      </c>
      <c r="M69" s="4">
        <v>65</v>
      </c>
      <c r="N69" s="4">
        <v>64</v>
      </c>
      <c r="O69" s="4">
        <v>58</v>
      </c>
      <c r="P69" s="4">
        <v>58</v>
      </c>
      <c r="Q69" s="6">
        <v>57</v>
      </c>
      <c r="R69" s="4">
        <v>56</v>
      </c>
      <c r="S69" s="4">
        <v>57</v>
      </c>
      <c r="T69" s="4">
        <v>53</v>
      </c>
      <c r="U69" s="4">
        <v>66</v>
      </c>
      <c r="V69" s="4">
        <v>74</v>
      </c>
      <c r="W69" s="4">
        <v>61</v>
      </c>
      <c r="X69" s="4">
        <v>62</v>
      </c>
      <c r="Y69" s="4">
        <v>55</v>
      </c>
      <c r="Z69" s="4">
        <v>70</v>
      </c>
    </row>
    <row r="70" spans="1:26" ht="15.75">
      <c r="A70" s="3">
        <v>66</v>
      </c>
      <c r="B70" s="4">
        <v>61</v>
      </c>
      <c r="C70" s="4">
        <v>50</v>
      </c>
      <c r="D70" s="4">
        <v>54</v>
      </c>
      <c r="E70" s="4">
        <v>51</v>
      </c>
      <c r="F70" s="4">
        <v>62</v>
      </c>
      <c r="G70" s="4">
        <v>67</v>
      </c>
      <c r="H70" s="4">
        <v>68</v>
      </c>
      <c r="I70" s="4">
        <v>74</v>
      </c>
      <c r="J70" s="4">
        <v>71</v>
      </c>
      <c r="K70" s="4">
        <v>60</v>
      </c>
      <c r="L70" s="4">
        <v>63</v>
      </c>
      <c r="M70" s="4">
        <v>66</v>
      </c>
      <c r="N70" s="4">
        <v>67</v>
      </c>
      <c r="O70" s="4">
        <v>61</v>
      </c>
      <c r="P70" s="4">
        <v>62</v>
      </c>
      <c r="Q70" s="6">
        <v>57</v>
      </c>
      <c r="R70" s="4">
        <v>56</v>
      </c>
      <c r="S70" s="4">
        <v>65</v>
      </c>
      <c r="T70" s="4">
        <v>55</v>
      </c>
      <c r="U70" s="4">
        <v>67</v>
      </c>
      <c r="V70" s="4">
        <v>76</v>
      </c>
      <c r="W70" s="4">
        <v>65</v>
      </c>
      <c r="X70" s="4">
        <v>66</v>
      </c>
      <c r="Y70" s="4">
        <v>57</v>
      </c>
      <c r="Z70" s="4">
        <v>76</v>
      </c>
    </row>
    <row r="71" spans="1:26" ht="15.75">
      <c r="A71" s="3">
        <v>67</v>
      </c>
      <c r="B71" s="4">
        <v>62</v>
      </c>
      <c r="C71" s="4">
        <v>50</v>
      </c>
      <c r="D71" s="4">
        <v>54</v>
      </c>
      <c r="E71" s="4">
        <v>53</v>
      </c>
      <c r="F71" s="4">
        <v>63</v>
      </c>
      <c r="G71" s="4">
        <v>71</v>
      </c>
      <c r="H71" s="4">
        <v>68</v>
      </c>
      <c r="I71" s="4">
        <v>74</v>
      </c>
      <c r="J71" s="4">
        <v>77</v>
      </c>
      <c r="K71" s="4">
        <v>62</v>
      </c>
      <c r="L71" s="4">
        <v>63</v>
      </c>
      <c r="M71" s="4">
        <v>70</v>
      </c>
      <c r="N71" s="4">
        <v>67</v>
      </c>
      <c r="O71" s="4">
        <v>62</v>
      </c>
      <c r="P71" s="4">
        <v>63</v>
      </c>
      <c r="Q71" s="6">
        <v>57</v>
      </c>
      <c r="R71" s="4">
        <v>57</v>
      </c>
      <c r="S71" s="4">
        <v>65</v>
      </c>
      <c r="T71" s="4">
        <v>55</v>
      </c>
      <c r="U71" s="4">
        <v>72</v>
      </c>
      <c r="V71" s="4">
        <v>77</v>
      </c>
      <c r="W71" s="4">
        <v>66</v>
      </c>
      <c r="X71" s="4">
        <v>67</v>
      </c>
      <c r="Y71" s="4">
        <v>57</v>
      </c>
      <c r="Z71" s="4">
        <v>76</v>
      </c>
    </row>
    <row r="72" spans="1:26" ht="15.75">
      <c r="A72" s="3">
        <v>68</v>
      </c>
      <c r="B72" s="4">
        <v>65</v>
      </c>
      <c r="C72" s="4">
        <v>50</v>
      </c>
      <c r="D72" s="4">
        <v>54</v>
      </c>
      <c r="E72" s="4">
        <v>57</v>
      </c>
      <c r="F72" s="4">
        <v>67</v>
      </c>
      <c r="G72" s="4">
        <v>73</v>
      </c>
      <c r="H72" s="4">
        <v>70</v>
      </c>
      <c r="I72" s="4">
        <v>76</v>
      </c>
      <c r="J72" s="4">
        <v>81</v>
      </c>
      <c r="K72" s="4">
        <v>68</v>
      </c>
      <c r="L72" s="4">
        <v>64</v>
      </c>
      <c r="M72" s="4">
        <v>73</v>
      </c>
      <c r="N72" s="4">
        <v>71</v>
      </c>
      <c r="O72" s="4">
        <v>65</v>
      </c>
      <c r="P72" s="4">
        <v>64</v>
      </c>
      <c r="Q72" s="6">
        <v>57</v>
      </c>
      <c r="R72" s="4">
        <v>63</v>
      </c>
      <c r="S72" s="4">
        <v>67</v>
      </c>
      <c r="T72" s="4">
        <v>56</v>
      </c>
      <c r="U72" s="4">
        <v>80</v>
      </c>
      <c r="V72" s="4">
        <v>79</v>
      </c>
      <c r="W72" s="4">
        <v>70</v>
      </c>
      <c r="X72" s="4">
        <v>72</v>
      </c>
      <c r="Y72" s="4">
        <v>57</v>
      </c>
      <c r="Z72" s="4">
        <v>79</v>
      </c>
    </row>
    <row r="73" spans="1:26" ht="15.75">
      <c r="A73" s="3">
        <v>69</v>
      </c>
      <c r="B73" s="4">
        <v>67</v>
      </c>
      <c r="C73" s="4">
        <v>50</v>
      </c>
      <c r="D73" s="4">
        <v>55</v>
      </c>
      <c r="E73" s="4">
        <v>57</v>
      </c>
      <c r="F73" s="4">
        <v>68</v>
      </c>
      <c r="G73" s="4">
        <v>74</v>
      </c>
      <c r="H73" s="4">
        <v>74</v>
      </c>
      <c r="I73" s="4">
        <v>81</v>
      </c>
      <c r="J73" s="4">
        <v>82</v>
      </c>
      <c r="K73" s="4">
        <v>68</v>
      </c>
      <c r="L73" s="4">
        <v>68</v>
      </c>
      <c r="M73" s="4">
        <v>75</v>
      </c>
      <c r="N73" s="4">
        <v>74</v>
      </c>
      <c r="O73" s="4">
        <v>69</v>
      </c>
      <c r="P73" s="4">
        <v>68</v>
      </c>
      <c r="Q73" s="6">
        <v>57</v>
      </c>
      <c r="R73" s="4">
        <v>64</v>
      </c>
      <c r="S73" s="4">
        <v>72</v>
      </c>
      <c r="T73" s="4">
        <v>59</v>
      </c>
      <c r="U73" s="4">
        <v>80</v>
      </c>
      <c r="V73" s="4">
        <v>81</v>
      </c>
      <c r="W73" s="4">
        <v>73</v>
      </c>
      <c r="X73" s="4">
        <v>75</v>
      </c>
      <c r="Y73" s="4">
        <v>59</v>
      </c>
      <c r="Z73" s="4">
        <v>81</v>
      </c>
    </row>
    <row r="74" spans="1:26" ht="15.75">
      <c r="A74" s="3">
        <v>70</v>
      </c>
      <c r="B74" s="4">
        <v>71</v>
      </c>
      <c r="C74" s="4">
        <v>50</v>
      </c>
      <c r="D74" s="4">
        <v>57</v>
      </c>
      <c r="E74" s="4">
        <v>57</v>
      </c>
      <c r="F74" s="4">
        <v>72</v>
      </c>
      <c r="G74" s="4">
        <v>77</v>
      </c>
      <c r="H74" s="4">
        <v>75</v>
      </c>
      <c r="I74" s="4">
        <v>81</v>
      </c>
      <c r="J74" s="4">
        <v>85</v>
      </c>
      <c r="K74" s="4">
        <v>70</v>
      </c>
      <c r="L74" s="4">
        <v>69</v>
      </c>
      <c r="M74" s="4">
        <v>77</v>
      </c>
      <c r="N74" s="4">
        <v>75</v>
      </c>
      <c r="O74" s="4">
        <v>70</v>
      </c>
      <c r="P74" s="4">
        <v>68</v>
      </c>
      <c r="Q74" s="6">
        <v>57</v>
      </c>
      <c r="R74" s="4">
        <v>65</v>
      </c>
      <c r="S74" s="4">
        <v>72</v>
      </c>
      <c r="T74" s="4">
        <v>59</v>
      </c>
      <c r="U74" s="4">
        <v>80</v>
      </c>
      <c r="V74" s="4">
        <v>81</v>
      </c>
      <c r="W74" s="4">
        <v>75</v>
      </c>
      <c r="X74" s="4">
        <v>76</v>
      </c>
      <c r="Y74" s="4">
        <v>60</v>
      </c>
      <c r="Z74" s="4">
        <v>82</v>
      </c>
    </row>
    <row r="75" spans="1:26" ht="15.75">
      <c r="A75" s="3">
        <v>71</v>
      </c>
      <c r="B75" s="4">
        <v>71</v>
      </c>
      <c r="C75" s="4">
        <v>51</v>
      </c>
      <c r="D75" s="4">
        <v>57</v>
      </c>
      <c r="E75" s="4">
        <v>57</v>
      </c>
      <c r="F75" s="4">
        <v>72</v>
      </c>
      <c r="G75" s="4">
        <v>80</v>
      </c>
      <c r="H75" s="4">
        <v>78</v>
      </c>
      <c r="I75" s="4">
        <v>84</v>
      </c>
      <c r="J75" s="4">
        <v>87</v>
      </c>
      <c r="K75" s="4">
        <v>79</v>
      </c>
      <c r="L75" s="4">
        <v>72</v>
      </c>
      <c r="M75" s="4">
        <v>78</v>
      </c>
      <c r="N75" s="4">
        <v>79</v>
      </c>
      <c r="O75" s="4">
        <v>72</v>
      </c>
      <c r="P75" s="4">
        <v>70</v>
      </c>
      <c r="Q75" s="6">
        <v>57</v>
      </c>
      <c r="R75" s="4">
        <v>70</v>
      </c>
      <c r="S75" s="4">
        <v>74</v>
      </c>
      <c r="T75" s="4">
        <v>60</v>
      </c>
      <c r="U75" s="4">
        <v>80</v>
      </c>
      <c r="V75" s="4">
        <v>82</v>
      </c>
      <c r="W75" s="4">
        <v>77</v>
      </c>
      <c r="X75" s="4">
        <v>78</v>
      </c>
      <c r="Y75" s="4">
        <v>62</v>
      </c>
      <c r="Z75" s="4">
        <v>85</v>
      </c>
    </row>
    <row r="76" spans="1:26" ht="15.75">
      <c r="A76" s="3">
        <v>72</v>
      </c>
      <c r="B76" s="4">
        <v>73</v>
      </c>
      <c r="C76" s="4">
        <v>51</v>
      </c>
      <c r="D76" s="4">
        <v>57</v>
      </c>
      <c r="E76" s="4">
        <v>57</v>
      </c>
      <c r="F76" s="4">
        <v>73</v>
      </c>
      <c r="G76" s="4">
        <v>83</v>
      </c>
      <c r="H76" s="4">
        <v>80</v>
      </c>
      <c r="I76" s="4">
        <v>85</v>
      </c>
      <c r="J76" s="4">
        <v>90</v>
      </c>
      <c r="K76" s="4">
        <v>79</v>
      </c>
      <c r="L76" s="4">
        <v>73</v>
      </c>
      <c r="M76" s="4">
        <v>81</v>
      </c>
      <c r="N76" s="4">
        <v>81</v>
      </c>
      <c r="O76" s="4">
        <v>74</v>
      </c>
      <c r="P76" s="4">
        <v>73</v>
      </c>
      <c r="Q76" s="6">
        <v>57</v>
      </c>
      <c r="R76" s="4">
        <v>71</v>
      </c>
      <c r="S76" s="4">
        <v>79</v>
      </c>
      <c r="T76" s="4">
        <v>62</v>
      </c>
      <c r="U76" s="4">
        <v>81</v>
      </c>
      <c r="V76" s="4">
        <v>83</v>
      </c>
      <c r="W76" s="4">
        <v>79</v>
      </c>
      <c r="X76" s="4">
        <v>81</v>
      </c>
      <c r="Y76" s="4">
        <v>63</v>
      </c>
      <c r="Z76" s="4">
        <v>87</v>
      </c>
    </row>
    <row r="77" spans="1:26" ht="15.75">
      <c r="A77" s="3">
        <v>73</v>
      </c>
      <c r="B77" s="4">
        <v>76</v>
      </c>
      <c r="C77" s="4">
        <v>51</v>
      </c>
      <c r="D77" s="4">
        <v>57</v>
      </c>
      <c r="E77" s="4">
        <v>58</v>
      </c>
      <c r="F77" s="4">
        <v>78</v>
      </c>
      <c r="G77" s="4">
        <v>83</v>
      </c>
      <c r="H77" s="4">
        <v>82</v>
      </c>
      <c r="I77" s="4">
        <v>87</v>
      </c>
      <c r="J77" s="4">
        <v>92</v>
      </c>
      <c r="K77" s="4">
        <v>79</v>
      </c>
      <c r="L77" s="4">
        <v>75</v>
      </c>
      <c r="M77" s="4">
        <v>83</v>
      </c>
      <c r="N77" s="4">
        <v>82</v>
      </c>
      <c r="O77" s="4">
        <v>76</v>
      </c>
      <c r="P77" s="4">
        <v>73</v>
      </c>
      <c r="Q77" s="6">
        <v>57</v>
      </c>
      <c r="R77" s="4">
        <v>72</v>
      </c>
      <c r="S77" s="4">
        <v>79</v>
      </c>
      <c r="T77" s="4">
        <v>62</v>
      </c>
      <c r="U77" s="4">
        <v>81</v>
      </c>
      <c r="V77" s="4">
        <v>85</v>
      </c>
      <c r="W77" s="4">
        <v>81</v>
      </c>
      <c r="X77" s="4">
        <v>83</v>
      </c>
      <c r="Y77" s="4">
        <v>66</v>
      </c>
      <c r="Z77" s="4">
        <v>88</v>
      </c>
    </row>
    <row r="78" spans="1:26" ht="15.75">
      <c r="A78" s="3">
        <v>74</v>
      </c>
      <c r="B78" s="4">
        <v>78</v>
      </c>
      <c r="C78" s="4">
        <v>52</v>
      </c>
      <c r="D78" s="4">
        <v>57</v>
      </c>
      <c r="E78" s="4">
        <v>59</v>
      </c>
      <c r="F78" s="4">
        <v>79</v>
      </c>
      <c r="G78" s="4">
        <v>87</v>
      </c>
      <c r="H78" s="4">
        <v>84</v>
      </c>
      <c r="I78" s="4">
        <v>89</v>
      </c>
      <c r="J78" s="4">
        <v>93</v>
      </c>
      <c r="K78" s="4">
        <v>81</v>
      </c>
      <c r="L78" s="4">
        <v>77</v>
      </c>
      <c r="M78" s="4">
        <v>84</v>
      </c>
      <c r="N78" s="4">
        <v>85</v>
      </c>
      <c r="O78" s="4">
        <v>77</v>
      </c>
      <c r="P78" s="4">
        <v>75</v>
      </c>
      <c r="Q78" s="6">
        <v>57</v>
      </c>
      <c r="R78" s="4">
        <v>74</v>
      </c>
      <c r="S78" s="4">
        <v>81</v>
      </c>
      <c r="T78" s="4">
        <v>62</v>
      </c>
      <c r="U78" s="4">
        <v>83</v>
      </c>
      <c r="V78" s="4">
        <v>85</v>
      </c>
      <c r="W78" s="4">
        <v>83</v>
      </c>
      <c r="X78" s="4">
        <v>85</v>
      </c>
      <c r="Y78" s="4">
        <v>67</v>
      </c>
      <c r="Z78" s="4">
        <v>90</v>
      </c>
    </row>
    <row r="79" spans="1:26" ht="15.75">
      <c r="A79" s="3">
        <v>75</v>
      </c>
      <c r="B79" s="4">
        <v>80</v>
      </c>
      <c r="C79" s="4">
        <v>55</v>
      </c>
      <c r="D79" s="4">
        <v>61</v>
      </c>
      <c r="E79" s="4">
        <v>63</v>
      </c>
      <c r="F79" s="4">
        <v>83</v>
      </c>
      <c r="G79" s="4">
        <v>90</v>
      </c>
      <c r="H79" s="4">
        <v>87</v>
      </c>
      <c r="I79" s="4">
        <v>90</v>
      </c>
      <c r="J79" s="4">
        <v>93</v>
      </c>
      <c r="K79" s="4">
        <v>85</v>
      </c>
      <c r="L79" s="4">
        <v>79</v>
      </c>
      <c r="M79" s="4">
        <v>85</v>
      </c>
      <c r="N79" s="4">
        <v>86</v>
      </c>
      <c r="O79" s="4">
        <v>79</v>
      </c>
      <c r="P79" s="4">
        <v>78</v>
      </c>
      <c r="Q79" s="6">
        <v>57</v>
      </c>
      <c r="R79" s="4">
        <v>78</v>
      </c>
      <c r="S79" s="4">
        <v>84</v>
      </c>
      <c r="T79" s="4">
        <v>65</v>
      </c>
      <c r="U79" s="4">
        <v>86</v>
      </c>
      <c r="V79" s="4">
        <v>87</v>
      </c>
      <c r="W79" s="4">
        <v>85</v>
      </c>
      <c r="X79" s="4">
        <v>86</v>
      </c>
      <c r="Y79" s="4">
        <v>69</v>
      </c>
      <c r="Z79" s="4">
        <v>91</v>
      </c>
    </row>
    <row r="80" spans="1:26" ht="15.75">
      <c r="A80" s="3">
        <v>76</v>
      </c>
      <c r="B80" s="4">
        <v>80</v>
      </c>
      <c r="C80" s="4">
        <v>56</v>
      </c>
      <c r="D80" s="4">
        <v>63</v>
      </c>
      <c r="E80" s="4">
        <v>63</v>
      </c>
      <c r="F80" s="4">
        <v>83</v>
      </c>
      <c r="G80" s="4">
        <v>90</v>
      </c>
      <c r="H80" s="4">
        <v>87</v>
      </c>
      <c r="I80" s="4">
        <v>90</v>
      </c>
      <c r="J80" s="4">
        <v>94</v>
      </c>
      <c r="K80" s="4">
        <v>85</v>
      </c>
      <c r="L80" s="4">
        <v>80</v>
      </c>
      <c r="M80" s="4">
        <v>86</v>
      </c>
      <c r="N80" s="4">
        <v>86</v>
      </c>
      <c r="O80" s="4">
        <v>79</v>
      </c>
      <c r="P80" s="4">
        <v>78</v>
      </c>
      <c r="Q80" s="6">
        <v>57</v>
      </c>
      <c r="R80" s="4">
        <v>78</v>
      </c>
      <c r="S80" s="4">
        <v>84</v>
      </c>
      <c r="T80" s="4">
        <v>65</v>
      </c>
      <c r="U80" s="4">
        <v>86</v>
      </c>
      <c r="V80" s="4">
        <v>87</v>
      </c>
      <c r="W80" s="4">
        <v>85</v>
      </c>
      <c r="X80" s="4">
        <v>86</v>
      </c>
      <c r="Y80" s="4">
        <v>70</v>
      </c>
      <c r="Z80" s="4">
        <v>91</v>
      </c>
    </row>
    <row r="81" spans="1:26" ht="15.75">
      <c r="A81" s="3">
        <v>77</v>
      </c>
      <c r="B81" s="4">
        <v>81</v>
      </c>
      <c r="C81" s="4">
        <v>61</v>
      </c>
      <c r="D81" s="4">
        <v>65</v>
      </c>
      <c r="E81" s="4">
        <v>64</v>
      </c>
      <c r="F81" s="4">
        <v>84</v>
      </c>
      <c r="G81" s="4">
        <v>90</v>
      </c>
      <c r="H81" s="4">
        <v>88</v>
      </c>
      <c r="I81" s="4">
        <v>91</v>
      </c>
      <c r="J81" s="4">
        <v>95</v>
      </c>
      <c r="K81" s="4">
        <v>85</v>
      </c>
      <c r="L81" s="4">
        <v>82</v>
      </c>
      <c r="M81" s="4">
        <v>87</v>
      </c>
      <c r="N81" s="4">
        <v>87</v>
      </c>
      <c r="O81" s="4">
        <v>80</v>
      </c>
      <c r="P81" s="4">
        <v>80</v>
      </c>
      <c r="Q81" s="6">
        <v>59</v>
      </c>
      <c r="R81" s="4">
        <v>78</v>
      </c>
      <c r="S81" s="4">
        <v>84</v>
      </c>
      <c r="T81" s="4">
        <v>66</v>
      </c>
      <c r="U81" s="4">
        <v>86</v>
      </c>
      <c r="V81" s="4">
        <v>87</v>
      </c>
      <c r="W81" s="4">
        <v>86</v>
      </c>
      <c r="X81" s="4">
        <v>86</v>
      </c>
      <c r="Y81" s="4">
        <v>70</v>
      </c>
      <c r="Z81" s="4">
        <v>92</v>
      </c>
    </row>
    <row r="82" spans="1:26" ht="15.75">
      <c r="A82" s="3">
        <v>78</v>
      </c>
      <c r="B82" s="4">
        <v>84</v>
      </c>
      <c r="C82" s="4">
        <v>64</v>
      </c>
      <c r="D82" s="4">
        <v>68</v>
      </c>
      <c r="E82" s="4">
        <v>68</v>
      </c>
      <c r="F82" s="4">
        <v>87</v>
      </c>
      <c r="G82" s="4">
        <v>90</v>
      </c>
      <c r="H82" s="4">
        <v>90</v>
      </c>
      <c r="I82" s="4">
        <v>92</v>
      </c>
      <c r="J82" s="4">
        <v>96</v>
      </c>
      <c r="K82" s="4">
        <v>85</v>
      </c>
      <c r="L82" s="4">
        <v>83</v>
      </c>
      <c r="M82" s="4">
        <v>88</v>
      </c>
      <c r="N82" s="4">
        <v>88</v>
      </c>
      <c r="O82" s="4">
        <v>81</v>
      </c>
      <c r="P82" s="4">
        <v>82</v>
      </c>
      <c r="Q82" s="6">
        <v>64</v>
      </c>
      <c r="R82" s="4">
        <v>78</v>
      </c>
      <c r="S82" s="4">
        <v>84</v>
      </c>
      <c r="T82" s="4">
        <v>69</v>
      </c>
      <c r="U82" s="4">
        <v>86</v>
      </c>
      <c r="V82" s="4">
        <v>88</v>
      </c>
      <c r="W82" s="4">
        <v>86</v>
      </c>
      <c r="X82" s="4">
        <v>86</v>
      </c>
      <c r="Y82" s="4">
        <v>72</v>
      </c>
      <c r="Z82" s="4">
        <v>92</v>
      </c>
    </row>
    <row r="83" spans="1:26" ht="15.75">
      <c r="A83" s="3">
        <v>79</v>
      </c>
      <c r="B83" s="4">
        <v>84</v>
      </c>
      <c r="C83" s="4">
        <v>65</v>
      </c>
      <c r="D83" s="4">
        <v>72</v>
      </c>
      <c r="E83" s="4">
        <v>70</v>
      </c>
      <c r="F83" s="4">
        <v>88</v>
      </c>
      <c r="G83" s="4">
        <v>91</v>
      </c>
      <c r="H83" s="4">
        <v>91</v>
      </c>
      <c r="I83" s="4">
        <v>92</v>
      </c>
      <c r="J83" s="4">
        <v>96</v>
      </c>
      <c r="K83" s="4">
        <v>87</v>
      </c>
      <c r="L83" s="4">
        <v>85</v>
      </c>
      <c r="M83" s="4">
        <v>90</v>
      </c>
      <c r="N83" s="4">
        <v>88</v>
      </c>
      <c r="O83" s="4">
        <v>81</v>
      </c>
      <c r="P83" s="4">
        <v>82</v>
      </c>
      <c r="Q83" s="6">
        <v>67</v>
      </c>
      <c r="R83" s="4">
        <v>80</v>
      </c>
      <c r="S83" s="4">
        <v>86</v>
      </c>
      <c r="T83" s="4">
        <v>70</v>
      </c>
      <c r="U83" s="4">
        <v>86</v>
      </c>
      <c r="V83" s="4">
        <v>88</v>
      </c>
      <c r="W83" s="4">
        <v>88</v>
      </c>
      <c r="X83" s="4">
        <v>88</v>
      </c>
      <c r="Y83" s="4">
        <v>72</v>
      </c>
      <c r="Z83" s="4">
        <v>93</v>
      </c>
    </row>
    <row r="84" spans="1:26" ht="15.75">
      <c r="A84" s="3">
        <v>80</v>
      </c>
      <c r="B84" s="4">
        <v>85</v>
      </c>
      <c r="C84" s="4">
        <v>68</v>
      </c>
      <c r="D84" s="4">
        <v>74</v>
      </c>
      <c r="E84" s="4">
        <v>73</v>
      </c>
      <c r="F84" s="4">
        <v>91</v>
      </c>
      <c r="G84" s="4">
        <v>93</v>
      </c>
      <c r="H84" s="4">
        <v>92</v>
      </c>
      <c r="I84" s="4">
        <v>92</v>
      </c>
      <c r="J84" s="4">
        <v>96</v>
      </c>
      <c r="K84" s="4">
        <v>96</v>
      </c>
      <c r="L84" s="4">
        <v>86</v>
      </c>
      <c r="M84" s="4">
        <v>91</v>
      </c>
      <c r="N84" s="4">
        <v>89</v>
      </c>
      <c r="O84" s="4">
        <v>82</v>
      </c>
      <c r="P84" s="4">
        <v>82</v>
      </c>
      <c r="Q84" s="6">
        <v>71</v>
      </c>
      <c r="R84" s="4">
        <v>84</v>
      </c>
      <c r="S84" s="4">
        <v>89</v>
      </c>
      <c r="T84" s="4">
        <v>72</v>
      </c>
      <c r="U84" s="4">
        <v>86</v>
      </c>
      <c r="V84" s="4">
        <v>88</v>
      </c>
      <c r="W84" s="4">
        <v>89</v>
      </c>
      <c r="X84" s="4">
        <v>89</v>
      </c>
      <c r="Y84" s="4">
        <v>73</v>
      </c>
      <c r="Z84" s="4">
        <v>94</v>
      </c>
    </row>
    <row r="85" spans="1:26" ht="15.75">
      <c r="A85" s="3">
        <v>81</v>
      </c>
      <c r="B85" s="4">
        <v>87</v>
      </c>
      <c r="C85" s="4">
        <v>70</v>
      </c>
      <c r="D85" s="4">
        <v>77</v>
      </c>
      <c r="E85" s="4">
        <v>73</v>
      </c>
      <c r="F85" s="4">
        <v>91</v>
      </c>
      <c r="G85" s="4">
        <v>94</v>
      </c>
      <c r="H85" s="4">
        <v>92</v>
      </c>
      <c r="I85" s="4">
        <v>93</v>
      </c>
      <c r="J85" s="4">
        <v>97</v>
      </c>
      <c r="K85" s="4">
        <v>96</v>
      </c>
      <c r="L85" s="4">
        <v>87</v>
      </c>
      <c r="M85" s="4">
        <v>91</v>
      </c>
      <c r="N85" s="4">
        <v>90</v>
      </c>
      <c r="O85" s="4">
        <v>83</v>
      </c>
      <c r="P85" s="4">
        <v>84</v>
      </c>
      <c r="Q85" s="6">
        <v>71</v>
      </c>
      <c r="R85" s="4">
        <v>84</v>
      </c>
      <c r="S85" s="4">
        <v>89</v>
      </c>
      <c r="T85" s="4">
        <v>73</v>
      </c>
      <c r="U85" s="4">
        <v>87</v>
      </c>
      <c r="V85" s="4">
        <v>89</v>
      </c>
      <c r="W85" s="4">
        <v>89</v>
      </c>
      <c r="X85" s="4">
        <v>89</v>
      </c>
      <c r="Y85" s="4">
        <v>74</v>
      </c>
      <c r="Z85" s="4">
        <v>94</v>
      </c>
    </row>
    <row r="86" spans="1:26" ht="15.75">
      <c r="A86" s="3">
        <v>82</v>
      </c>
      <c r="B86" s="4">
        <v>88</v>
      </c>
      <c r="C86" s="4">
        <v>74</v>
      </c>
      <c r="D86" s="4">
        <v>78</v>
      </c>
      <c r="E86" s="4">
        <v>75</v>
      </c>
      <c r="F86" s="4">
        <v>91</v>
      </c>
      <c r="G86" s="4">
        <v>94</v>
      </c>
      <c r="H86" s="4">
        <v>93</v>
      </c>
      <c r="I86" s="4">
        <v>94</v>
      </c>
      <c r="J86" s="4">
        <v>98</v>
      </c>
      <c r="K86" s="4">
        <v>96</v>
      </c>
      <c r="L86" s="4">
        <v>88</v>
      </c>
      <c r="M86" s="4">
        <v>93</v>
      </c>
      <c r="N86" s="4">
        <v>91</v>
      </c>
      <c r="O86" s="4">
        <v>84</v>
      </c>
      <c r="P86" s="4">
        <v>86</v>
      </c>
      <c r="Q86" s="6">
        <v>74</v>
      </c>
      <c r="R86" s="4">
        <v>84</v>
      </c>
      <c r="S86" s="4">
        <v>90</v>
      </c>
      <c r="T86" s="4">
        <v>74</v>
      </c>
      <c r="U86" s="4">
        <v>87</v>
      </c>
      <c r="V86" s="4">
        <v>89</v>
      </c>
      <c r="W86" s="4">
        <v>89</v>
      </c>
      <c r="X86" s="4">
        <v>89</v>
      </c>
      <c r="Y86" s="4">
        <v>76</v>
      </c>
      <c r="Z86" s="4">
        <v>95</v>
      </c>
    </row>
    <row r="87" spans="1:26" ht="15.75">
      <c r="A87" s="3">
        <v>83</v>
      </c>
      <c r="B87" s="4">
        <v>88</v>
      </c>
      <c r="C87" s="4">
        <v>76</v>
      </c>
      <c r="D87" s="4">
        <v>81</v>
      </c>
      <c r="E87" s="4">
        <v>78</v>
      </c>
      <c r="F87" s="4">
        <v>93</v>
      </c>
      <c r="G87" s="4">
        <v>94</v>
      </c>
      <c r="H87" s="4">
        <v>94</v>
      </c>
      <c r="I87" s="4">
        <v>94</v>
      </c>
      <c r="J87" s="4">
        <v>98</v>
      </c>
      <c r="K87" s="4">
        <v>96</v>
      </c>
      <c r="L87" s="4">
        <v>89</v>
      </c>
      <c r="M87" s="4">
        <v>93</v>
      </c>
      <c r="N87" s="4">
        <v>91</v>
      </c>
      <c r="O87" s="4">
        <v>84</v>
      </c>
      <c r="P87" s="4">
        <v>86</v>
      </c>
      <c r="Q87" s="6">
        <v>78</v>
      </c>
      <c r="R87" s="4">
        <v>85</v>
      </c>
      <c r="S87" s="4">
        <v>90</v>
      </c>
      <c r="T87" s="4">
        <v>76</v>
      </c>
      <c r="U87" s="4">
        <v>88</v>
      </c>
      <c r="V87" s="4">
        <v>89</v>
      </c>
      <c r="W87" s="4">
        <v>89</v>
      </c>
      <c r="X87" s="4">
        <v>89</v>
      </c>
      <c r="Y87" s="4">
        <v>76</v>
      </c>
      <c r="Z87" s="4">
        <v>95</v>
      </c>
    </row>
    <row r="88" spans="1:26" ht="15.75">
      <c r="A88" s="3">
        <v>84</v>
      </c>
      <c r="B88" s="4">
        <v>89</v>
      </c>
      <c r="C88" s="4">
        <v>78</v>
      </c>
      <c r="D88" s="4">
        <v>85</v>
      </c>
      <c r="E88" s="4">
        <v>80</v>
      </c>
      <c r="F88" s="4">
        <v>94</v>
      </c>
      <c r="G88" s="4">
        <v>94</v>
      </c>
      <c r="H88" s="4">
        <v>95</v>
      </c>
      <c r="I88" s="4">
        <v>95</v>
      </c>
      <c r="J88" s="4">
        <v>98</v>
      </c>
      <c r="K88" s="4">
        <v>96</v>
      </c>
      <c r="L88" s="4">
        <v>91</v>
      </c>
      <c r="M88" s="4">
        <v>94</v>
      </c>
      <c r="N88" s="4">
        <v>92</v>
      </c>
      <c r="O88" s="4">
        <v>86</v>
      </c>
      <c r="P88" s="4">
        <v>88</v>
      </c>
      <c r="Q88" s="6">
        <v>80</v>
      </c>
      <c r="R88" s="4">
        <v>88</v>
      </c>
      <c r="S88" s="4">
        <v>91</v>
      </c>
      <c r="T88" s="4">
        <v>77</v>
      </c>
      <c r="U88" s="4">
        <v>88</v>
      </c>
      <c r="V88" s="4">
        <v>90</v>
      </c>
      <c r="W88" s="4">
        <v>91</v>
      </c>
      <c r="X88" s="4">
        <v>90</v>
      </c>
      <c r="Y88" s="4">
        <v>78</v>
      </c>
      <c r="Z88" s="4">
        <v>96</v>
      </c>
    </row>
    <row r="89" spans="1:26" ht="15.75">
      <c r="A89" s="3">
        <v>85</v>
      </c>
      <c r="B89" s="4">
        <v>91</v>
      </c>
      <c r="C89" s="4">
        <v>80</v>
      </c>
      <c r="D89" s="4">
        <v>86</v>
      </c>
      <c r="E89" s="4">
        <v>84</v>
      </c>
      <c r="F89" s="4">
        <v>95</v>
      </c>
      <c r="G89" s="4">
        <v>97</v>
      </c>
      <c r="H89" s="4">
        <v>95</v>
      </c>
      <c r="I89" s="4">
        <v>96</v>
      </c>
      <c r="J89" s="4">
        <v>98</v>
      </c>
      <c r="K89" s="4">
        <v>97</v>
      </c>
      <c r="L89" s="4">
        <v>92</v>
      </c>
      <c r="M89" s="4">
        <v>94</v>
      </c>
      <c r="N89" s="4">
        <v>92</v>
      </c>
      <c r="O89" s="4">
        <v>87</v>
      </c>
      <c r="P89" s="4">
        <v>89</v>
      </c>
      <c r="Q89" s="6">
        <v>82</v>
      </c>
      <c r="R89" s="4">
        <v>90</v>
      </c>
      <c r="S89" s="4">
        <v>93</v>
      </c>
      <c r="T89" s="4">
        <v>78</v>
      </c>
      <c r="U89" s="4">
        <v>91</v>
      </c>
      <c r="V89" s="4">
        <v>92</v>
      </c>
      <c r="W89" s="4">
        <v>92</v>
      </c>
      <c r="X89" s="4">
        <v>91</v>
      </c>
      <c r="Y89" s="4">
        <v>80</v>
      </c>
      <c r="Z89" s="4">
        <v>96</v>
      </c>
    </row>
    <row r="90" spans="1:26" ht="15.75">
      <c r="A90" s="3">
        <v>86</v>
      </c>
      <c r="B90" s="4">
        <v>91</v>
      </c>
      <c r="C90" s="4">
        <v>80</v>
      </c>
      <c r="D90" s="4">
        <v>86</v>
      </c>
      <c r="E90" s="4">
        <v>84</v>
      </c>
      <c r="F90" s="4">
        <v>95</v>
      </c>
      <c r="G90" s="4">
        <v>97</v>
      </c>
      <c r="H90" s="4">
        <v>95</v>
      </c>
      <c r="I90" s="4">
        <v>96</v>
      </c>
      <c r="J90" s="4">
        <v>98</v>
      </c>
      <c r="K90" s="4">
        <v>97</v>
      </c>
      <c r="L90" s="4">
        <v>93</v>
      </c>
      <c r="M90" s="4">
        <v>94</v>
      </c>
      <c r="N90" s="4">
        <v>92</v>
      </c>
      <c r="O90" s="4">
        <v>87</v>
      </c>
      <c r="P90" s="4">
        <v>89</v>
      </c>
      <c r="Q90" s="6">
        <v>82</v>
      </c>
      <c r="R90" s="4">
        <v>90</v>
      </c>
      <c r="S90" s="4">
        <v>93</v>
      </c>
      <c r="T90" s="4">
        <v>78</v>
      </c>
      <c r="U90" s="4">
        <v>91</v>
      </c>
      <c r="V90" s="4">
        <v>92</v>
      </c>
      <c r="W90" s="4">
        <v>92</v>
      </c>
      <c r="X90" s="4">
        <v>91</v>
      </c>
      <c r="Y90" s="4">
        <v>80</v>
      </c>
      <c r="Z90" s="4">
        <v>96</v>
      </c>
    </row>
    <row r="91" spans="1:26" ht="15.75">
      <c r="A91" s="3">
        <v>87</v>
      </c>
      <c r="B91" s="4">
        <v>91</v>
      </c>
      <c r="C91" s="4">
        <v>80</v>
      </c>
      <c r="D91" s="4">
        <v>87</v>
      </c>
      <c r="E91" s="4">
        <v>84</v>
      </c>
      <c r="F91" s="4">
        <v>95</v>
      </c>
      <c r="G91" s="4">
        <v>97</v>
      </c>
      <c r="H91" s="4">
        <v>96</v>
      </c>
      <c r="I91" s="4">
        <v>96</v>
      </c>
      <c r="J91" s="4">
        <v>98</v>
      </c>
      <c r="K91" s="4">
        <v>97</v>
      </c>
      <c r="L91" s="4">
        <v>93</v>
      </c>
      <c r="M91" s="4">
        <v>94</v>
      </c>
      <c r="N91" s="4">
        <v>93</v>
      </c>
      <c r="O91" s="4">
        <v>88</v>
      </c>
      <c r="P91" s="4">
        <v>91</v>
      </c>
      <c r="Q91" s="6">
        <v>82</v>
      </c>
      <c r="R91" s="4">
        <v>90</v>
      </c>
      <c r="S91" s="4">
        <v>93</v>
      </c>
      <c r="T91" s="4">
        <v>79</v>
      </c>
      <c r="U91" s="4">
        <v>92</v>
      </c>
      <c r="V91" s="4">
        <v>92</v>
      </c>
      <c r="W91" s="4">
        <v>92</v>
      </c>
      <c r="X91" s="4">
        <v>91</v>
      </c>
      <c r="Y91" s="4">
        <v>80</v>
      </c>
      <c r="Z91" s="4">
        <v>96</v>
      </c>
    </row>
    <row r="92" spans="1:26" ht="15.75">
      <c r="A92" s="3">
        <v>88</v>
      </c>
      <c r="B92" s="4">
        <v>91</v>
      </c>
      <c r="C92" s="4">
        <v>81</v>
      </c>
      <c r="D92" s="4">
        <v>87</v>
      </c>
      <c r="E92" s="4">
        <v>86</v>
      </c>
      <c r="F92" s="4">
        <v>98</v>
      </c>
      <c r="G92" s="4">
        <v>97</v>
      </c>
      <c r="H92" s="4">
        <v>96</v>
      </c>
      <c r="I92" s="4">
        <v>97</v>
      </c>
      <c r="J92" s="4">
        <v>98</v>
      </c>
      <c r="K92" s="4">
        <v>97</v>
      </c>
      <c r="L92" s="4">
        <v>93</v>
      </c>
      <c r="M92" s="4">
        <v>95</v>
      </c>
      <c r="N92" s="4">
        <v>93</v>
      </c>
      <c r="O92" s="4">
        <v>89</v>
      </c>
      <c r="P92" s="4">
        <v>92</v>
      </c>
      <c r="Q92" s="6">
        <v>82</v>
      </c>
      <c r="R92" s="4">
        <v>90</v>
      </c>
      <c r="S92" s="4">
        <v>94</v>
      </c>
      <c r="T92" s="4">
        <v>79</v>
      </c>
      <c r="U92" s="4">
        <v>93</v>
      </c>
      <c r="V92" s="4">
        <v>92</v>
      </c>
      <c r="W92" s="4">
        <v>92</v>
      </c>
      <c r="X92" s="4">
        <v>93</v>
      </c>
      <c r="Y92" s="4">
        <v>81</v>
      </c>
      <c r="Z92" s="4">
        <v>97</v>
      </c>
    </row>
    <row r="93" spans="1:26" ht="15.75">
      <c r="A93" s="3">
        <v>89</v>
      </c>
      <c r="B93" s="4">
        <v>91</v>
      </c>
      <c r="C93" s="4">
        <v>84</v>
      </c>
      <c r="D93" s="4">
        <v>87</v>
      </c>
      <c r="E93" s="4">
        <v>88</v>
      </c>
      <c r="F93" s="4">
        <v>98</v>
      </c>
      <c r="G93" s="4">
        <v>97</v>
      </c>
      <c r="H93" s="4">
        <v>96</v>
      </c>
      <c r="I93" s="4">
        <v>97</v>
      </c>
      <c r="J93" s="4">
        <v>99</v>
      </c>
      <c r="K93" s="4">
        <v>97</v>
      </c>
      <c r="L93" s="4">
        <v>95</v>
      </c>
      <c r="M93" s="4">
        <v>95</v>
      </c>
      <c r="N93" s="4">
        <v>95</v>
      </c>
      <c r="O93" s="4">
        <v>90</v>
      </c>
      <c r="P93" s="4">
        <v>92</v>
      </c>
      <c r="Q93" s="6">
        <v>84</v>
      </c>
      <c r="R93" s="4">
        <v>90</v>
      </c>
      <c r="S93" s="4">
        <v>95</v>
      </c>
      <c r="T93" s="4">
        <v>81</v>
      </c>
      <c r="U93" s="4">
        <v>93</v>
      </c>
      <c r="V93" s="4">
        <v>92</v>
      </c>
      <c r="W93" s="4">
        <v>92</v>
      </c>
      <c r="X93" s="4">
        <v>93</v>
      </c>
      <c r="Y93" s="4">
        <v>83</v>
      </c>
      <c r="Z93" s="4">
        <v>97</v>
      </c>
    </row>
    <row r="94" spans="1:26" ht="15.75">
      <c r="A94" s="3">
        <v>90</v>
      </c>
      <c r="B94" s="4">
        <v>93</v>
      </c>
      <c r="C94" s="4">
        <v>84</v>
      </c>
      <c r="D94" s="4">
        <v>88</v>
      </c>
      <c r="E94" s="4">
        <v>88</v>
      </c>
      <c r="F94" s="4">
        <v>98</v>
      </c>
      <c r="G94" s="4">
        <v>97</v>
      </c>
      <c r="H94" s="4">
        <v>97</v>
      </c>
      <c r="I94" s="4">
        <v>97</v>
      </c>
      <c r="J94" s="4">
        <v>99</v>
      </c>
      <c r="K94" s="4">
        <v>97</v>
      </c>
      <c r="L94" s="4">
        <v>96</v>
      </c>
      <c r="M94" s="4">
        <v>95</v>
      </c>
      <c r="N94" s="4">
        <v>95</v>
      </c>
      <c r="O94" s="4">
        <v>90</v>
      </c>
      <c r="P94" s="4">
        <v>93</v>
      </c>
      <c r="Q94" s="6">
        <v>86</v>
      </c>
      <c r="R94" s="4">
        <v>90</v>
      </c>
      <c r="S94" s="4">
        <v>96</v>
      </c>
      <c r="T94" s="4">
        <v>83</v>
      </c>
      <c r="U94" s="4">
        <v>93</v>
      </c>
      <c r="V94" s="4">
        <v>93</v>
      </c>
      <c r="W94" s="4">
        <v>93</v>
      </c>
      <c r="X94" s="4">
        <v>94</v>
      </c>
      <c r="Y94" s="4">
        <v>83</v>
      </c>
      <c r="Z94" s="4">
        <v>98</v>
      </c>
    </row>
    <row r="95" spans="1:26" ht="15.75">
      <c r="A95" s="3">
        <v>91</v>
      </c>
      <c r="B95" s="4">
        <v>94</v>
      </c>
      <c r="C95" s="4">
        <v>84</v>
      </c>
      <c r="D95" s="4">
        <v>89</v>
      </c>
      <c r="E95" s="4">
        <v>88</v>
      </c>
      <c r="F95" s="4">
        <v>98</v>
      </c>
      <c r="G95" s="4">
        <v>97</v>
      </c>
      <c r="H95" s="4">
        <v>97</v>
      </c>
      <c r="I95" s="4">
        <v>97</v>
      </c>
      <c r="J95" s="4">
        <v>99</v>
      </c>
      <c r="K95" s="4">
        <v>97</v>
      </c>
      <c r="L95" s="4">
        <v>96</v>
      </c>
      <c r="M95" s="4">
        <v>95</v>
      </c>
      <c r="N95" s="4">
        <v>95</v>
      </c>
      <c r="O95" s="4">
        <v>90</v>
      </c>
      <c r="P95" s="4">
        <v>94</v>
      </c>
      <c r="Q95" s="6">
        <v>86</v>
      </c>
      <c r="R95" s="4">
        <v>90</v>
      </c>
      <c r="S95" s="4">
        <v>96</v>
      </c>
      <c r="T95" s="4">
        <v>83</v>
      </c>
      <c r="U95" s="4">
        <v>94</v>
      </c>
      <c r="V95" s="4">
        <v>93</v>
      </c>
      <c r="W95" s="4">
        <v>93</v>
      </c>
      <c r="X95" s="4">
        <v>94</v>
      </c>
      <c r="Y95" s="4">
        <v>83</v>
      </c>
      <c r="Z95" s="4">
        <v>98</v>
      </c>
    </row>
    <row r="96" spans="1:26" ht="15.75">
      <c r="A96" s="3">
        <v>92</v>
      </c>
      <c r="B96" s="4">
        <v>94</v>
      </c>
      <c r="C96" s="4">
        <v>84</v>
      </c>
      <c r="D96" s="4">
        <v>89</v>
      </c>
      <c r="E96" s="4">
        <v>88</v>
      </c>
      <c r="F96" s="4">
        <v>98</v>
      </c>
      <c r="G96" s="4">
        <v>97</v>
      </c>
      <c r="H96" s="4">
        <v>97</v>
      </c>
      <c r="I96" s="4">
        <v>98</v>
      </c>
      <c r="J96" s="4">
        <v>99</v>
      </c>
      <c r="K96" s="4">
        <v>97</v>
      </c>
      <c r="L96" s="4">
        <v>96</v>
      </c>
      <c r="M96" s="4">
        <v>96</v>
      </c>
      <c r="N96" s="4">
        <v>96</v>
      </c>
      <c r="O96" s="4">
        <v>92</v>
      </c>
      <c r="P96" s="4">
        <v>94</v>
      </c>
      <c r="Q96" s="6">
        <v>86</v>
      </c>
      <c r="R96" s="4">
        <v>90</v>
      </c>
      <c r="S96" s="4">
        <v>96</v>
      </c>
      <c r="T96" s="4">
        <v>84</v>
      </c>
      <c r="U96" s="4">
        <v>95</v>
      </c>
      <c r="V96" s="4">
        <v>93</v>
      </c>
      <c r="W96" s="4">
        <v>95</v>
      </c>
      <c r="X96" s="4">
        <v>95</v>
      </c>
      <c r="Y96" s="4">
        <v>83</v>
      </c>
      <c r="Z96" s="4">
        <v>98</v>
      </c>
    </row>
    <row r="97" spans="1:26" ht="15.75">
      <c r="A97" s="3">
        <v>93</v>
      </c>
      <c r="B97" s="4">
        <v>94</v>
      </c>
      <c r="C97" s="4">
        <v>86</v>
      </c>
      <c r="D97" s="4">
        <v>89</v>
      </c>
      <c r="E97" s="4">
        <v>90</v>
      </c>
      <c r="F97" s="4">
        <v>99</v>
      </c>
      <c r="G97" s="4">
        <v>99</v>
      </c>
      <c r="H97" s="4">
        <v>98</v>
      </c>
      <c r="I97" s="4">
        <v>98</v>
      </c>
      <c r="J97" s="4">
        <v>99</v>
      </c>
      <c r="K97" s="4">
        <v>97</v>
      </c>
      <c r="L97" s="4">
        <v>96</v>
      </c>
      <c r="M97" s="4">
        <v>96</v>
      </c>
      <c r="N97" s="4">
        <v>96</v>
      </c>
      <c r="O97" s="4">
        <v>92</v>
      </c>
      <c r="P97" s="4">
        <v>95</v>
      </c>
      <c r="Q97" s="6">
        <v>87</v>
      </c>
      <c r="R97" s="4">
        <v>91</v>
      </c>
      <c r="S97" s="4">
        <v>97</v>
      </c>
      <c r="T97" s="4">
        <v>84</v>
      </c>
      <c r="U97" s="4">
        <v>95</v>
      </c>
      <c r="V97" s="4">
        <v>93</v>
      </c>
      <c r="W97" s="4">
        <v>96</v>
      </c>
      <c r="X97" s="4">
        <v>96</v>
      </c>
      <c r="Y97" s="4">
        <v>84</v>
      </c>
      <c r="Z97" s="4">
        <v>98</v>
      </c>
    </row>
    <row r="98" spans="1:26" ht="15.75">
      <c r="A98" s="3">
        <v>94</v>
      </c>
      <c r="B98" s="4">
        <v>94</v>
      </c>
      <c r="C98" s="4">
        <v>88</v>
      </c>
      <c r="D98" s="4">
        <v>89</v>
      </c>
      <c r="E98" s="4">
        <v>93</v>
      </c>
      <c r="F98" s="4">
        <v>99</v>
      </c>
      <c r="G98" s="4">
        <v>99</v>
      </c>
      <c r="H98" s="4">
        <v>98</v>
      </c>
      <c r="I98" s="4">
        <v>98</v>
      </c>
      <c r="J98" s="4">
        <v>99</v>
      </c>
      <c r="K98" s="4">
        <v>97</v>
      </c>
      <c r="L98" s="4">
        <v>97</v>
      </c>
      <c r="M98" s="4">
        <v>96</v>
      </c>
      <c r="N98" s="4">
        <v>97</v>
      </c>
      <c r="O98" s="4">
        <v>93</v>
      </c>
      <c r="P98" s="4">
        <v>95</v>
      </c>
      <c r="Q98" s="6">
        <v>88</v>
      </c>
      <c r="R98" s="4">
        <v>93</v>
      </c>
      <c r="S98" s="4">
        <v>97</v>
      </c>
      <c r="T98" s="4">
        <v>87</v>
      </c>
      <c r="U98" s="4">
        <v>96</v>
      </c>
      <c r="V98" s="4">
        <v>94</v>
      </c>
      <c r="W98" s="4">
        <v>96</v>
      </c>
      <c r="X98" s="4">
        <v>96</v>
      </c>
      <c r="Y98" s="4">
        <v>86</v>
      </c>
      <c r="Z98" s="4">
        <v>99</v>
      </c>
    </row>
    <row r="99" spans="1:26" ht="15.75">
      <c r="A99" s="3">
        <v>95</v>
      </c>
      <c r="B99" s="4">
        <v>94</v>
      </c>
      <c r="C99" s="4">
        <v>88</v>
      </c>
      <c r="D99" s="4">
        <v>89</v>
      </c>
      <c r="E99" s="4">
        <v>93</v>
      </c>
      <c r="F99" s="4">
        <v>99</v>
      </c>
      <c r="G99" s="4">
        <v>99</v>
      </c>
      <c r="H99" s="4">
        <v>98</v>
      </c>
      <c r="I99" s="4">
        <v>99</v>
      </c>
      <c r="J99" s="4">
        <v>99</v>
      </c>
      <c r="K99" s="4">
        <v>97</v>
      </c>
      <c r="L99" s="4">
        <v>97</v>
      </c>
      <c r="M99" s="4">
        <v>97</v>
      </c>
      <c r="N99" s="4">
        <v>97</v>
      </c>
      <c r="O99" s="4">
        <v>94</v>
      </c>
      <c r="P99" s="4">
        <v>97</v>
      </c>
      <c r="Q99" s="6">
        <v>91</v>
      </c>
      <c r="R99" s="4">
        <v>94</v>
      </c>
      <c r="S99" s="4">
        <v>98</v>
      </c>
      <c r="T99" s="4">
        <v>87</v>
      </c>
      <c r="U99" s="4">
        <v>96</v>
      </c>
      <c r="V99" s="4">
        <v>95</v>
      </c>
      <c r="W99" s="4">
        <v>96</v>
      </c>
      <c r="X99" s="4">
        <v>97</v>
      </c>
      <c r="Y99" s="4">
        <v>86</v>
      </c>
      <c r="Z99" s="4">
        <v>99</v>
      </c>
    </row>
    <row r="100" spans="1:26" ht="15.75">
      <c r="A100" s="3">
        <v>96</v>
      </c>
      <c r="B100" s="4">
        <v>95</v>
      </c>
      <c r="C100" s="4">
        <v>88</v>
      </c>
      <c r="D100" s="4">
        <v>91</v>
      </c>
      <c r="E100" s="4">
        <v>93</v>
      </c>
      <c r="F100" s="4">
        <v>99</v>
      </c>
      <c r="G100" s="4">
        <v>99</v>
      </c>
      <c r="H100" s="4">
        <v>99</v>
      </c>
      <c r="I100" s="4">
        <v>99</v>
      </c>
      <c r="J100" s="4">
        <v>99</v>
      </c>
      <c r="K100" s="4">
        <v>98</v>
      </c>
      <c r="L100" s="4">
        <v>98</v>
      </c>
      <c r="M100" s="4">
        <v>97</v>
      </c>
      <c r="N100" s="4">
        <v>97</v>
      </c>
      <c r="O100" s="4">
        <v>94</v>
      </c>
      <c r="P100" s="4">
        <v>97</v>
      </c>
      <c r="Q100" s="6">
        <v>91</v>
      </c>
      <c r="R100" s="4">
        <v>94</v>
      </c>
      <c r="S100" s="4">
        <v>98</v>
      </c>
      <c r="T100" s="4">
        <v>87</v>
      </c>
      <c r="U100" s="4">
        <v>96</v>
      </c>
      <c r="V100" s="4">
        <v>95</v>
      </c>
      <c r="W100" s="4">
        <v>97</v>
      </c>
      <c r="X100" s="4">
        <v>97</v>
      </c>
      <c r="Y100" s="4">
        <v>86</v>
      </c>
      <c r="Z100" s="4">
        <v>99</v>
      </c>
    </row>
    <row r="101" spans="1:26" ht="15.75">
      <c r="A101" s="3">
        <v>97</v>
      </c>
      <c r="B101" s="4">
        <v>96</v>
      </c>
      <c r="C101" s="4">
        <v>90</v>
      </c>
      <c r="D101" s="4">
        <v>91</v>
      </c>
      <c r="E101" s="4">
        <v>94</v>
      </c>
      <c r="F101" s="4">
        <v>99</v>
      </c>
      <c r="G101" s="4">
        <v>99</v>
      </c>
      <c r="H101" s="4">
        <v>99</v>
      </c>
      <c r="I101" s="4">
        <v>99</v>
      </c>
      <c r="J101" s="4">
        <v>99</v>
      </c>
      <c r="K101" s="4">
        <v>98</v>
      </c>
      <c r="L101" s="4">
        <v>98</v>
      </c>
      <c r="M101" s="4">
        <v>97</v>
      </c>
      <c r="N101" s="4">
        <v>97</v>
      </c>
      <c r="O101" s="4">
        <v>94</v>
      </c>
      <c r="P101" s="4">
        <v>98</v>
      </c>
      <c r="Q101" s="6">
        <v>91</v>
      </c>
      <c r="R101" s="4">
        <v>94</v>
      </c>
      <c r="S101" s="4">
        <v>98</v>
      </c>
      <c r="T101" s="4">
        <v>87</v>
      </c>
      <c r="U101" s="4">
        <v>96</v>
      </c>
      <c r="V101" s="4">
        <v>95</v>
      </c>
      <c r="W101" s="4">
        <v>97</v>
      </c>
      <c r="X101" s="4">
        <v>97</v>
      </c>
      <c r="Y101" s="4">
        <v>88</v>
      </c>
      <c r="Z101" s="4">
        <v>99</v>
      </c>
    </row>
    <row r="102" spans="1:26" ht="15.75">
      <c r="A102" s="3">
        <v>98</v>
      </c>
      <c r="B102" s="4">
        <v>96</v>
      </c>
      <c r="C102" s="4">
        <v>91</v>
      </c>
      <c r="D102" s="4">
        <v>91</v>
      </c>
      <c r="E102" s="4">
        <v>96</v>
      </c>
      <c r="F102" s="4">
        <v>99</v>
      </c>
      <c r="G102" s="4">
        <v>99</v>
      </c>
      <c r="H102" s="4">
        <v>99</v>
      </c>
      <c r="I102" s="4">
        <v>99</v>
      </c>
      <c r="J102" s="4">
        <v>99</v>
      </c>
      <c r="K102" s="4">
        <v>98</v>
      </c>
      <c r="L102" s="4">
        <v>98</v>
      </c>
      <c r="M102" s="4">
        <v>97</v>
      </c>
      <c r="N102" s="4">
        <v>97</v>
      </c>
      <c r="O102" s="4">
        <v>95</v>
      </c>
      <c r="P102" s="4">
        <v>98</v>
      </c>
      <c r="Q102" s="6">
        <v>91</v>
      </c>
      <c r="R102" s="4">
        <v>94</v>
      </c>
      <c r="S102" s="4">
        <v>98</v>
      </c>
      <c r="T102" s="4">
        <v>87</v>
      </c>
      <c r="U102" s="4">
        <v>97</v>
      </c>
      <c r="V102" s="4">
        <v>95</v>
      </c>
      <c r="W102" s="4">
        <v>97</v>
      </c>
      <c r="X102" s="4">
        <v>97</v>
      </c>
      <c r="Y102" s="4">
        <v>89</v>
      </c>
      <c r="Z102" s="4">
        <v>99</v>
      </c>
    </row>
    <row r="103" spans="1:26" ht="15.75">
      <c r="A103" s="3">
        <v>99</v>
      </c>
      <c r="B103" s="4">
        <v>96</v>
      </c>
      <c r="C103" s="4">
        <v>91</v>
      </c>
      <c r="D103" s="4">
        <v>92</v>
      </c>
      <c r="E103" s="4">
        <v>96</v>
      </c>
      <c r="F103" s="4">
        <v>99</v>
      </c>
      <c r="G103" s="4">
        <v>99</v>
      </c>
      <c r="H103" s="4">
        <v>99</v>
      </c>
      <c r="I103" s="4">
        <v>99</v>
      </c>
      <c r="J103" s="4">
        <v>99</v>
      </c>
      <c r="K103" s="4">
        <v>98</v>
      </c>
      <c r="L103" s="4">
        <v>98</v>
      </c>
      <c r="M103" s="4">
        <v>98</v>
      </c>
      <c r="N103" s="4">
        <v>98</v>
      </c>
      <c r="O103" s="4">
        <v>96</v>
      </c>
      <c r="P103" s="4">
        <v>98</v>
      </c>
      <c r="Q103" s="6">
        <v>94</v>
      </c>
      <c r="R103" s="4">
        <v>94</v>
      </c>
      <c r="S103" s="4">
        <v>98</v>
      </c>
      <c r="T103" s="4">
        <v>89</v>
      </c>
      <c r="U103" s="4">
        <v>97</v>
      </c>
      <c r="V103" s="4">
        <v>96</v>
      </c>
      <c r="W103" s="4">
        <v>98</v>
      </c>
      <c r="X103" s="4">
        <v>98</v>
      </c>
      <c r="Y103" s="4">
        <v>89</v>
      </c>
      <c r="Z103" s="4">
        <v>99</v>
      </c>
    </row>
    <row r="104" spans="1:26" ht="15.75">
      <c r="A104" s="3">
        <v>100</v>
      </c>
      <c r="B104" s="4">
        <v>96</v>
      </c>
      <c r="C104" s="4">
        <v>92</v>
      </c>
      <c r="D104" s="4">
        <v>92</v>
      </c>
      <c r="E104" s="4">
        <v>96</v>
      </c>
      <c r="F104" s="4">
        <v>99</v>
      </c>
      <c r="G104" s="4">
        <v>99</v>
      </c>
      <c r="H104" s="4">
        <v>99</v>
      </c>
      <c r="I104" s="4">
        <v>99</v>
      </c>
      <c r="J104" s="4">
        <v>99</v>
      </c>
      <c r="K104" s="4">
        <v>99</v>
      </c>
      <c r="L104" s="4">
        <v>98</v>
      </c>
      <c r="M104" s="4">
        <v>98</v>
      </c>
      <c r="N104" s="4">
        <v>98</v>
      </c>
      <c r="O104" s="4">
        <v>96</v>
      </c>
      <c r="P104" s="4">
        <v>98</v>
      </c>
      <c r="Q104" s="6">
        <v>94</v>
      </c>
      <c r="R104" s="4">
        <v>94</v>
      </c>
      <c r="S104" s="4">
        <v>99</v>
      </c>
      <c r="T104" s="4">
        <v>90</v>
      </c>
      <c r="U104" s="4">
        <v>97</v>
      </c>
      <c r="V104" s="4">
        <v>96</v>
      </c>
      <c r="W104" s="4">
        <v>99</v>
      </c>
      <c r="X104" s="4">
        <v>98</v>
      </c>
      <c r="Y104" s="4">
        <v>90</v>
      </c>
      <c r="Z104" s="4">
        <v>99</v>
      </c>
    </row>
    <row r="105" spans="1:26" ht="15.75">
      <c r="A105" s="3">
        <v>101</v>
      </c>
      <c r="B105" s="4">
        <v>96</v>
      </c>
      <c r="C105" s="4">
        <v>92</v>
      </c>
      <c r="D105" s="4">
        <v>92</v>
      </c>
      <c r="E105" s="4">
        <v>96</v>
      </c>
      <c r="H105" s="4">
        <v>99</v>
      </c>
      <c r="I105" s="4">
        <v>99</v>
      </c>
      <c r="J105" s="4">
        <v>99</v>
      </c>
      <c r="K105" s="4" t="s">
        <v>391</v>
      </c>
      <c r="L105" s="4">
        <v>98</v>
      </c>
      <c r="M105" s="4">
        <v>98</v>
      </c>
      <c r="N105" s="4">
        <v>98</v>
      </c>
      <c r="O105" s="4">
        <v>96</v>
      </c>
      <c r="P105" s="4">
        <v>99</v>
      </c>
      <c r="Q105" s="6">
        <v>94</v>
      </c>
      <c r="R105" s="4">
        <v>94</v>
      </c>
      <c r="S105" s="4">
        <v>99</v>
      </c>
      <c r="T105" s="4">
        <v>90</v>
      </c>
      <c r="U105" s="4">
        <v>97</v>
      </c>
      <c r="V105" s="4">
        <v>96</v>
      </c>
      <c r="W105" s="4">
        <v>99</v>
      </c>
      <c r="X105" s="4">
        <v>98</v>
      </c>
      <c r="Y105" s="4">
        <v>91</v>
      </c>
      <c r="Z105" s="4">
        <v>99</v>
      </c>
    </row>
    <row r="106" spans="1:26" ht="15.75">
      <c r="A106" s="3">
        <v>102</v>
      </c>
      <c r="B106" s="4">
        <v>98</v>
      </c>
      <c r="C106" s="4">
        <v>94</v>
      </c>
      <c r="D106" s="4">
        <v>94</v>
      </c>
      <c r="E106" s="4">
        <v>97</v>
      </c>
      <c r="H106" s="4">
        <v>99</v>
      </c>
      <c r="I106" s="4">
        <v>99</v>
      </c>
      <c r="J106" s="4">
        <v>99</v>
      </c>
      <c r="K106" s="4" t="s">
        <v>391</v>
      </c>
      <c r="L106" s="4">
        <v>99</v>
      </c>
      <c r="M106" s="4">
        <v>98</v>
      </c>
      <c r="N106" s="4">
        <v>98</v>
      </c>
      <c r="O106" s="4">
        <v>96</v>
      </c>
      <c r="P106" s="4">
        <v>99</v>
      </c>
      <c r="Q106" s="6">
        <v>97</v>
      </c>
      <c r="R106" s="4">
        <v>96</v>
      </c>
      <c r="S106" s="4">
        <v>99</v>
      </c>
      <c r="T106" s="4">
        <v>90</v>
      </c>
      <c r="U106" s="4">
        <v>98</v>
      </c>
      <c r="V106" s="4">
        <v>97</v>
      </c>
      <c r="W106" s="4">
        <v>99</v>
      </c>
      <c r="X106" s="4">
        <v>99</v>
      </c>
      <c r="Y106" s="4">
        <v>93</v>
      </c>
      <c r="Z106" s="4">
        <v>99</v>
      </c>
    </row>
    <row r="107" spans="1:26" ht="15.75">
      <c r="A107" s="3">
        <v>103</v>
      </c>
      <c r="B107" s="4">
        <v>98</v>
      </c>
      <c r="C107" s="4">
        <v>94</v>
      </c>
      <c r="D107" s="4">
        <v>94</v>
      </c>
      <c r="E107" s="4">
        <v>97</v>
      </c>
      <c r="H107" s="4">
        <v>99</v>
      </c>
      <c r="I107" s="4">
        <v>99</v>
      </c>
      <c r="J107" s="4">
        <v>99</v>
      </c>
      <c r="K107" s="4" t="s">
        <v>391</v>
      </c>
      <c r="L107" s="4">
        <v>99</v>
      </c>
      <c r="M107" s="4">
        <v>98</v>
      </c>
      <c r="N107" s="4">
        <v>98</v>
      </c>
      <c r="O107" s="4">
        <v>97</v>
      </c>
      <c r="P107" s="4">
        <v>99</v>
      </c>
      <c r="Q107" s="6">
        <v>97</v>
      </c>
      <c r="R107" s="4">
        <v>96</v>
      </c>
      <c r="S107" s="4">
        <v>99</v>
      </c>
      <c r="T107" s="4">
        <v>90</v>
      </c>
      <c r="U107" s="4">
        <v>98</v>
      </c>
      <c r="V107" s="4">
        <v>97</v>
      </c>
      <c r="W107" s="4">
        <v>99</v>
      </c>
      <c r="X107" s="4">
        <v>99</v>
      </c>
      <c r="Y107" s="4">
        <v>94</v>
      </c>
      <c r="Z107" s="4">
        <v>99</v>
      </c>
    </row>
    <row r="108" spans="1:26" ht="15.75">
      <c r="A108" s="3">
        <v>104</v>
      </c>
      <c r="B108" s="4">
        <v>98</v>
      </c>
      <c r="C108" s="4">
        <v>94</v>
      </c>
      <c r="D108" s="4">
        <v>94</v>
      </c>
      <c r="E108" s="4">
        <v>97</v>
      </c>
      <c r="H108" s="4">
        <v>99</v>
      </c>
      <c r="I108" s="4">
        <v>99</v>
      </c>
      <c r="J108" s="4">
        <v>99</v>
      </c>
      <c r="K108" s="4" t="s">
        <v>391</v>
      </c>
      <c r="L108" s="4">
        <v>99</v>
      </c>
      <c r="M108" s="4">
        <v>98</v>
      </c>
      <c r="N108" s="4">
        <v>99</v>
      </c>
      <c r="O108" s="4">
        <v>97</v>
      </c>
      <c r="P108" s="4">
        <v>99</v>
      </c>
      <c r="Q108" s="6">
        <v>97</v>
      </c>
      <c r="R108" s="4">
        <v>96</v>
      </c>
      <c r="S108" s="4">
        <v>99</v>
      </c>
      <c r="T108" s="4">
        <v>92</v>
      </c>
      <c r="U108" s="4">
        <v>98</v>
      </c>
      <c r="V108" s="4">
        <v>97</v>
      </c>
      <c r="W108" s="4">
        <v>99</v>
      </c>
      <c r="X108" s="4">
        <v>99</v>
      </c>
      <c r="Y108" s="4">
        <v>94</v>
      </c>
      <c r="Z108" s="4">
        <v>99</v>
      </c>
    </row>
    <row r="109" spans="1:26" ht="15.75">
      <c r="A109" s="3">
        <v>105</v>
      </c>
      <c r="B109" s="4">
        <v>98</v>
      </c>
      <c r="C109" s="4">
        <v>95</v>
      </c>
      <c r="D109" s="4">
        <v>95</v>
      </c>
      <c r="E109" s="4">
        <v>98</v>
      </c>
      <c r="H109" s="4">
        <v>99</v>
      </c>
      <c r="I109" s="4">
        <v>99</v>
      </c>
      <c r="J109" s="4">
        <v>99</v>
      </c>
      <c r="K109" s="4" t="s">
        <v>391</v>
      </c>
      <c r="L109" s="4">
        <v>99</v>
      </c>
      <c r="M109" s="4">
        <v>98</v>
      </c>
      <c r="N109" s="4">
        <v>99</v>
      </c>
      <c r="O109" s="4">
        <v>97</v>
      </c>
      <c r="P109" s="4">
        <v>99</v>
      </c>
      <c r="Q109" s="6">
        <v>97</v>
      </c>
      <c r="R109" s="4">
        <v>95</v>
      </c>
      <c r="S109" s="4">
        <v>99</v>
      </c>
      <c r="T109" s="4">
        <v>93</v>
      </c>
      <c r="U109" s="4">
        <v>99</v>
      </c>
      <c r="V109" s="4">
        <v>98</v>
      </c>
      <c r="W109" s="4">
        <v>99</v>
      </c>
      <c r="X109" s="4">
        <v>99</v>
      </c>
      <c r="Y109" s="4">
        <v>96</v>
      </c>
      <c r="Z109" s="4">
        <v>99</v>
      </c>
    </row>
    <row r="110" spans="1:26" ht="15.75">
      <c r="A110" s="3">
        <v>106</v>
      </c>
      <c r="B110" s="4">
        <v>98</v>
      </c>
      <c r="C110" s="4">
        <v>96</v>
      </c>
      <c r="D110" s="4">
        <v>95</v>
      </c>
      <c r="E110" s="4">
        <v>99</v>
      </c>
      <c r="H110" s="4">
        <v>99</v>
      </c>
      <c r="I110" s="4">
        <v>99</v>
      </c>
      <c r="J110" s="4">
        <v>99</v>
      </c>
      <c r="K110" s="4" t="s">
        <v>391</v>
      </c>
      <c r="L110" s="4">
        <v>99</v>
      </c>
      <c r="M110" s="4">
        <v>98</v>
      </c>
      <c r="N110" s="4">
        <v>99</v>
      </c>
      <c r="O110" s="4">
        <v>98</v>
      </c>
      <c r="P110" s="4">
        <v>99</v>
      </c>
      <c r="Q110" s="6">
        <v>97</v>
      </c>
      <c r="R110" s="4">
        <v>95</v>
      </c>
      <c r="S110" s="4">
        <v>99</v>
      </c>
      <c r="T110" s="4">
        <v>93</v>
      </c>
      <c r="U110" s="4">
        <v>99</v>
      </c>
      <c r="V110" s="4">
        <v>98</v>
      </c>
      <c r="W110" s="4">
        <v>99</v>
      </c>
      <c r="X110" s="4">
        <v>99</v>
      </c>
      <c r="Y110" s="4">
        <v>96</v>
      </c>
      <c r="Z110" s="4">
        <v>99</v>
      </c>
    </row>
    <row r="111" spans="1:26" ht="15.75">
      <c r="A111" s="3">
        <v>107</v>
      </c>
      <c r="B111" s="4">
        <v>98</v>
      </c>
      <c r="C111" s="4">
        <v>96</v>
      </c>
      <c r="D111" s="4">
        <v>95</v>
      </c>
      <c r="E111" s="4">
        <v>99</v>
      </c>
      <c r="H111" s="4">
        <v>99</v>
      </c>
      <c r="I111" s="4">
        <v>99</v>
      </c>
      <c r="J111" s="4">
        <v>99</v>
      </c>
      <c r="K111" s="4" t="s">
        <v>391</v>
      </c>
      <c r="L111" s="4">
        <v>99</v>
      </c>
      <c r="M111" s="4">
        <v>99</v>
      </c>
      <c r="N111" s="4">
        <v>99</v>
      </c>
      <c r="O111" s="4">
        <v>99</v>
      </c>
      <c r="P111" s="4">
        <v>99</v>
      </c>
      <c r="Q111" s="6">
        <v>97</v>
      </c>
      <c r="R111" s="4">
        <v>95</v>
      </c>
      <c r="S111" s="4">
        <v>99</v>
      </c>
      <c r="T111" s="4">
        <v>93</v>
      </c>
      <c r="U111" s="4">
        <v>99</v>
      </c>
      <c r="V111" s="4">
        <v>98</v>
      </c>
      <c r="W111" s="4">
        <v>99</v>
      </c>
      <c r="X111" s="4">
        <v>99</v>
      </c>
      <c r="Y111" s="4">
        <v>96</v>
      </c>
      <c r="Z111" s="4">
        <v>99</v>
      </c>
    </row>
    <row r="112" spans="1:26" ht="15.75">
      <c r="A112" s="3">
        <v>108</v>
      </c>
      <c r="B112" s="4">
        <v>99</v>
      </c>
      <c r="C112" s="4">
        <v>96</v>
      </c>
      <c r="D112" s="4">
        <v>96</v>
      </c>
      <c r="E112" s="4">
        <v>99</v>
      </c>
      <c r="H112" s="4">
        <v>99</v>
      </c>
      <c r="I112" s="4">
        <v>99</v>
      </c>
      <c r="J112" s="4">
        <v>99</v>
      </c>
      <c r="K112" s="4" t="s">
        <v>391</v>
      </c>
      <c r="L112" s="4">
        <v>99</v>
      </c>
      <c r="M112" s="4">
        <v>99</v>
      </c>
      <c r="N112" s="4">
        <v>99</v>
      </c>
      <c r="O112" s="4">
        <v>99</v>
      </c>
      <c r="P112" s="4">
        <v>99</v>
      </c>
      <c r="Q112" s="6">
        <v>95</v>
      </c>
      <c r="R112" s="4">
        <v>95</v>
      </c>
      <c r="S112" s="4">
        <v>99</v>
      </c>
      <c r="T112" s="4">
        <v>94</v>
      </c>
      <c r="U112" s="4">
        <v>99</v>
      </c>
      <c r="V112" s="4">
        <v>98</v>
      </c>
      <c r="W112" s="4">
        <v>99</v>
      </c>
      <c r="X112" s="4">
        <v>99</v>
      </c>
      <c r="Y112" s="4">
        <v>97</v>
      </c>
      <c r="Z112" s="4">
        <v>99</v>
      </c>
    </row>
    <row r="113" spans="1:26" ht="15.75">
      <c r="A113" s="3">
        <v>109</v>
      </c>
      <c r="B113" s="4">
        <v>99</v>
      </c>
      <c r="C113" s="4">
        <v>96</v>
      </c>
      <c r="D113" s="4">
        <v>97</v>
      </c>
      <c r="E113" s="4">
        <v>99</v>
      </c>
      <c r="H113" s="4">
        <v>99</v>
      </c>
      <c r="I113" s="4">
        <v>99</v>
      </c>
      <c r="J113" s="4">
        <v>99</v>
      </c>
      <c r="K113" s="4" t="s">
        <v>391</v>
      </c>
      <c r="L113" s="4">
        <v>99</v>
      </c>
      <c r="M113" s="4">
        <v>99</v>
      </c>
      <c r="N113" s="4">
        <v>99</v>
      </c>
      <c r="O113" s="4">
        <v>99</v>
      </c>
      <c r="P113" s="4">
        <v>99</v>
      </c>
      <c r="Q113" s="6">
        <v>99</v>
      </c>
      <c r="R113" s="4">
        <v>98</v>
      </c>
      <c r="S113" s="4">
        <v>99</v>
      </c>
      <c r="T113" s="4">
        <v>96</v>
      </c>
      <c r="U113" s="4">
        <v>99</v>
      </c>
      <c r="V113" s="4">
        <v>99</v>
      </c>
      <c r="W113" s="4">
        <v>99</v>
      </c>
      <c r="X113" s="4">
        <v>99</v>
      </c>
      <c r="Y113" s="4">
        <v>97</v>
      </c>
      <c r="Z113" s="4">
        <v>99</v>
      </c>
    </row>
    <row r="114" spans="1:26" ht="15.75">
      <c r="A114" s="3">
        <v>110</v>
      </c>
      <c r="B114" s="4">
        <v>99</v>
      </c>
      <c r="C114" s="4">
        <v>98</v>
      </c>
      <c r="D114" s="4">
        <v>97</v>
      </c>
      <c r="E114" s="4">
        <v>99</v>
      </c>
      <c r="H114" s="4">
        <v>99</v>
      </c>
      <c r="I114" s="4">
        <v>99</v>
      </c>
      <c r="J114" s="4">
        <v>99</v>
      </c>
      <c r="K114" s="4" t="s">
        <v>391</v>
      </c>
      <c r="L114" s="4">
        <v>99</v>
      </c>
      <c r="M114" s="4">
        <v>99</v>
      </c>
      <c r="N114" s="4">
        <v>99</v>
      </c>
      <c r="O114" s="4">
        <v>99</v>
      </c>
      <c r="P114" s="4">
        <v>99</v>
      </c>
      <c r="Q114" s="6">
        <v>99</v>
      </c>
      <c r="R114" s="4">
        <v>98</v>
      </c>
      <c r="S114" s="4">
        <v>99</v>
      </c>
      <c r="T114" s="4">
        <v>97</v>
      </c>
      <c r="U114" s="4">
        <v>99</v>
      </c>
      <c r="V114" s="4">
        <v>99</v>
      </c>
      <c r="W114" s="4">
        <v>99</v>
      </c>
      <c r="X114" s="4">
        <v>99</v>
      </c>
      <c r="Y114" s="4">
        <v>97</v>
      </c>
      <c r="Z114" s="4">
        <v>99</v>
      </c>
    </row>
    <row r="115" spans="1:26" ht="15.75">
      <c r="A115" s="3">
        <v>111</v>
      </c>
      <c r="B115" s="4">
        <v>99</v>
      </c>
      <c r="C115" s="4">
        <v>99</v>
      </c>
      <c r="D115" s="4">
        <v>98</v>
      </c>
      <c r="E115" s="4">
        <v>99</v>
      </c>
      <c r="H115" s="4">
        <v>99</v>
      </c>
      <c r="I115" s="4">
        <v>99</v>
      </c>
      <c r="J115" s="4">
        <v>99</v>
      </c>
      <c r="K115" s="4" t="s">
        <v>391</v>
      </c>
      <c r="L115" s="4">
        <v>99</v>
      </c>
      <c r="M115" s="4">
        <v>99</v>
      </c>
      <c r="N115" s="4">
        <v>99</v>
      </c>
      <c r="O115" s="4">
        <v>99</v>
      </c>
      <c r="P115" s="4">
        <v>99</v>
      </c>
      <c r="Q115" s="6">
        <v>99</v>
      </c>
      <c r="R115" s="4">
        <v>98</v>
      </c>
      <c r="S115" s="4">
        <v>99</v>
      </c>
      <c r="T115" s="4">
        <v>97</v>
      </c>
      <c r="U115" s="4">
        <v>99</v>
      </c>
      <c r="V115" s="4">
        <v>99</v>
      </c>
      <c r="W115" s="4">
        <v>99</v>
      </c>
      <c r="X115" s="4">
        <v>99</v>
      </c>
      <c r="Y115" s="4">
        <v>98</v>
      </c>
      <c r="Z115" s="4">
        <v>99</v>
      </c>
    </row>
    <row r="116" spans="1:26" ht="15.75">
      <c r="A116" s="3">
        <v>112</v>
      </c>
      <c r="B116" s="4">
        <v>99</v>
      </c>
      <c r="C116" s="4">
        <v>99</v>
      </c>
      <c r="D116" s="4">
        <v>98</v>
      </c>
      <c r="E116" s="4">
        <v>99</v>
      </c>
      <c r="H116" s="4">
        <v>99</v>
      </c>
      <c r="I116" s="4">
        <v>99</v>
      </c>
      <c r="J116" s="4">
        <v>99</v>
      </c>
      <c r="K116" s="4" t="s">
        <v>391</v>
      </c>
      <c r="L116" s="4">
        <v>99</v>
      </c>
      <c r="M116" s="4">
        <v>99</v>
      </c>
      <c r="N116" s="4">
        <v>99</v>
      </c>
      <c r="O116" s="4">
        <v>99</v>
      </c>
      <c r="P116" s="4">
        <v>99</v>
      </c>
      <c r="Q116" s="6">
        <v>99</v>
      </c>
      <c r="R116" s="4">
        <v>98</v>
      </c>
      <c r="S116" s="4">
        <v>99</v>
      </c>
      <c r="T116" s="4">
        <v>97</v>
      </c>
      <c r="U116" s="4">
        <v>99</v>
      </c>
      <c r="V116" s="4">
        <v>99</v>
      </c>
      <c r="W116" s="4">
        <v>99</v>
      </c>
      <c r="X116" s="4">
        <v>99</v>
      </c>
      <c r="Y116" s="4">
        <v>98</v>
      </c>
      <c r="Z116" s="4">
        <v>99</v>
      </c>
    </row>
    <row r="117" spans="1:26" ht="15.75">
      <c r="A117" s="3">
        <v>113</v>
      </c>
      <c r="B117" s="4">
        <v>99</v>
      </c>
      <c r="C117" s="4">
        <v>99</v>
      </c>
      <c r="D117" s="4">
        <v>98</v>
      </c>
      <c r="E117" s="4">
        <v>99</v>
      </c>
      <c r="H117" s="4">
        <v>99</v>
      </c>
      <c r="I117" s="4">
        <v>99</v>
      </c>
      <c r="J117" s="4">
        <v>99</v>
      </c>
      <c r="K117" s="4" t="s">
        <v>391</v>
      </c>
      <c r="L117" s="4">
        <v>99</v>
      </c>
      <c r="M117" s="4">
        <v>99</v>
      </c>
      <c r="N117" s="4">
        <v>99</v>
      </c>
      <c r="O117" s="4">
        <v>99</v>
      </c>
      <c r="P117" s="4">
        <v>99</v>
      </c>
      <c r="Q117" s="6">
        <v>99</v>
      </c>
      <c r="R117" s="4">
        <v>98</v>
      </c>
      <c r="S117" s="4">
        <v>99</v>
      </c>
      <c r="T117" s="4">
        <v>98</v>
      </c>
      <c r="U117" s="4">
        <v>99</v>
      </c>
      <c r="V117" s="4">
        <v>99</v>
      </c>
      <c r="W117" s="4">
        <v>99</v>
      </c>
      <c r="X117" s="4">
        <v>99</v>
      </c>
      <c r="Y117" s="4">
        <v>98</v>
      </c>
      <c r="Z117" s="4">
        <v>99</v>
      </c>
    </row>
    <row r="118" spans="1:26" ht="15.75">
      <c r="A118" s="3">
        <v>114</v>
      </c>
      <c r="B118" s="4">
        <v>99</v>
      </c>
      <c r="C118" s="4">
        <v>99</v>
      </c>
      <c r="D118" s="4">
        <v>99</v>
      </c>
      <c r="E118" s="4">
        <v>99</v>
      </c>
      <c r="H118" s="4">
        <v>99</v>
      </c>
      <c r="I118" s="4">
        <v>99</v>
      </c>
      <c r="J118" s="4">
        <v>99</v>
      </c>
      <c r="K118" s="4" t="s">
        <v>391</v>
      </c>
      <c r="L118" s="4">
        <v>99</v>
      </c>
      <c r="M118" s="4">
        <v>99</v>
      </c>
      <c r="N118" s="4">
        <v>99</v>
      </c>
      <c r="O118" s="4">
        <v>99</v>
      </c>
      <c r="P118" s="4">
        <v>99</v>
      </c>
      <c r="Q118" s="6">
        <v>99</v>
      </c>
      <c r="R118" s="4">
        <v>99</v>
      </c>
      <c r="S118" s="4">
        <v>99</v>
      </c>
      <c r="T118" s="4">
        <v>99</v>
      </c>
      <c r="U118" s="4">
        <v>99</v>
      </c>
      <c r="V118" s="4">
        <v>99</v>
      </c>
      <c r="W118" s="4">
        <v>99</v>
      </c>
      <c r="X118" s="4">
        <v>99</v>
      </c>
      <c r="Y118" s="4">
        <v>99</v>
      </c>
      <c r="Z118" s="4">
        <v>99</v>
      </c>
    </row>
    <row r="119" spans="1:26" ht="15.75">
      <c r="A119" s="3">
        <v>115</v>
      </c>
      <c r="B119" s="4">
        <v>99</v>
      </c>
      <c r="C119" s="4">
        <v>99</v>
      </c>
      <c r="D119" s="4">
        <v>99</v>
      </c>
      <c r="E119" s="4">
        <v>99</v>
      </c>
      <c r="H119" s="4">
        <v>99</v>
      </c>
      <c r="I119" s="4">
        <v>99</v>
      </c>
      <c r="J119" s="4">
        <v>99</v>
      </c>
      <c r="K119" s="4" t="s">
        <v>391</v>
      </c>
      <c r="L119" s="4">
        <v>99</v>
      </c>
      <c r="M119" s="4">
        <v>99</v>
      </c>
      <c r="N119" s="4">
        <v>99</v>
      </c>
      <c r="O119" s="4">
        <v>99</v>
      </c>
      <c r="P119" s="4">
        <v>99</v>
      </c>
      <c r="Q119" s="6">
        <v>99</v>
      </c>
      <c r="R119" s="4">
        <v>99</v>
      </c>
      <c r="S119" s="4">
        <v>99</v>
      </c>
      <c r="T119" s="4">
        <v>99</v>
      </c>
      <c r="U119" s="4">
        <v>99</v>
      </c>
      <c r="V119" s="4">
        <v>99</v>
      </c>
      <c r="W119" s="4">
        <v>99</v>
      </c>
      <c r="X119" s="4">
        <v>99</v>
      </c>
      <c r="Y119" s="4">
        <v>99</v>
      </c>
      <c r="Z119" s="4">
        <v>99</v>
      </c>
    </row>
  </sheetData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A47"/>
  <sheetViews>
    <sheetView workbookViewId="0">
      <selection activeCell="AC27" sqref="AC27"/>
    </sheetView>
  </sheetViews>
  <sheetFormatPr baseColWidth="10" defaultColWidth="9.140625" defaultRowHeight="15"/>
  <cols>
    <col min="1" max="41" width="4.7109375" customWidth="1"/>
  </cols>
  <sheetData>
    <row r="1" spans="1:27">
      <c r="B1" s="104">
        <v>0</v>
      </c>
      <c r="C1" s="104"/>
      <c r="D1" s="104">
        <v>1</v>
      </c>
      <c r="E1" s="104"/>
      <c r="F1" s="104">
        <v>2</v>
      </c>
      <c r="G1" s="104"/>
      <c r="H1" s="104">
        <v>3</v>
      </c>
      <c r="I1" s="104"/>
      <c r="J1" s="104">
        <v>4</v>
      </c>
      <c r="K1" s="104"/>
      <c r="L1" s="104">
        <v>5</v>
      </c>
      <c r="M1" s="104"/>
      <c r="N1" s="104">
        <v>6</v>
      </c>
      <c r="O1" s="104"/>
      <c r="P1" s="104">
        <v>7</v>
      </c>
      <c r="Q1" s="104"/>
      <c r="R1" s="104">
        <v>8</v>
      </c>
      <c r="S1" s="104"/>
      <c r="T1" s="104">
        <v>9</v>
      </c>
      <c r="U1" s="104"/>
      <c r="V1" s="104">
        <v>10</v>
      </c>
      <c r="W1" s="104"/>
      <c r="X1" s="104">
        <v>11</v>
      </c>
      <c r="Y1" s="104"/>
      <c r="Z1" s="104">
        <v>12</v>
      </c>
      <c r="AA1" s="104"/>
    </row>
    <row r="2" spans="1:27">
      <c r="B2" s="1" t="s">
        <v>232</v>
      </c>
      <c r="C2" s="1" t="s">
        <v>392</v>
      </c>
      <c r="D2" s="1" t="s">
        <v>232</v>
      </c>
      <c r="E2" s="1" t="s">
        <v>392</v>
      </c>
      <c r="F2" s="1" t="s">
        <v>232</v>
      </c>
      <c r="G2" s="1" t="s">
        <v>392</v>
      </c>
      <c r="H2" s="1" t="s">
        <v>232</v>
      </c>
      <c r="I2" s="1" t="s">
        <v>392</v>
      </c>
      <c r="J2" s="1" t="s">
        <v>232</v>
      </c>
      <c r="K2" s="1" t="s">
        <v>392</v>
      </c>
      <c r="L2" s="1" t="s">
        <v>232</v>
      </c>
      <c r="M2" s="1" t="s">
        <v>392</v>
      </c>
      <c r="N2" s="1" t="s">
        <v>232</v>
      </c>
      <c r="O2" s="1" t="s">
        <v>392</v>
      </c>
      <c r="P2" s="1" t="s">
        <v>232</v>
      </c>
      <c r="Q2" s="1" t="s">
        <v>392</v>
      </c>
      <c r="R2" s="1" t="s">
        <v>232</v>
      </c>
      <c r="S2" s="1" t="s">
        <v>392</v>
      </c>
      <c r="T2" s="1" t="s">
        <v>232</v>
      </c>
      <c r="U2" s="1" t="s">
        <v>392</v>
      </c>
      <c r="V2" s="1" t="s">
        <v>232</v>
      </c>
      <c r="W2" s="1" t="s">
        <v>392</v>
      </c>
      <c r="X2" s="1" t="s">
        <v>232</v>
      </c>
      <c r="Y2" s="1" t="s">
        <v>392</v>
      </c>
      <c r="Z2" s="1" t="s">
        <v>232</v>
      </c>
      <c r="AA2" s="1" t="s">
        <v>392</v>
      </c>
    </row>
    <row r="3" spans="1:27">
      <c r="A3" s="2">
        <v>1.1000000000000001</v>
      </c>
      <c r="B3" s="1">
        <v>0</v>
      </c>
      <c r="C3" s="1">
        <v>9</v>
      </c>
      <c r="D3" s="1">
        <v>20</v>
      </c>
      <c r="E3" s="1">
        <v>22</v>
      </c>
      <c r="F3" s="1">
        <v>40</v>
      </c>
      <c r="G3" s="1">
        <v>38</v>
      </c>
      <c r="H3" s="1">
        <v>60</v>
      </c>
      <c r="I3" s="1">
        <v>55</v>
      </c>
      <c r="J3" s="1">
        <v>68</v>
      </c>
      <c r="K3" s="1">
        <v>68</v>
      </c>
      <c r="L3" s="1">
        <v>75</v>
      </c>
      <c r="M3" s="1">
        <v>80</v>
      </c>
      <c r="N3" s="1">
        <v>85</v>
      </c>
      <c r="O3" s="1">
        <v>89</v>
      </c>
      <c r="P3" s="1">
        <v>90</v>
      </c>
      <c r="Q3" s="1">
        <v>95</v>
      </c>
      <c r="R3" s="1">
        <v>95</v>
      </c>
      <c r="S3" s="1">
        <v>98</v>
      </c>
      <c r="T3" s="1">
        <v>100</v>
      </c>
      <c r="U3" s="1">
        <v>99</v>
      </c>
      <c r="V3" s="1"/>
      <c r="W3" s="1"/>
      <c r="X3" s="1"/>
      <c r="Y3" s="1"/>
      <c r="Z3" s="1"/>
      <c r="AA3" s="1"/>
    </row>
    <row r="4" spans="1:27">
      <c r="A4" s="2">
        <v>1.2</v>
      </c>
      <c r="B4" s="1">
        <v>0</v>
      </c>
      <c r="C4" s="1">
        <v>3</v>
      </c>
      <c r="D4" s="1">
        <v>15</v>
      </c>
      <c r="E4" s="1">
        <v>10</v>
      </c>
      <c r="F4" s="1">
        <v>30</v>
      </c>
      <c r="G4" s="1">
        <v>20</v>
      </c>
      <c r="H4" s="1">
        <v>45</v>
      </c>
      <c r="I4" s="1">
        <v>35</v>
      </c>
      <c r="J4" s="1">
        <v>60</v>
      </c>
      <c r="K4" s="1">
        <v>48</v>
      </c>
      <c r="L4" s="1">
        <v>65</v>
      </c>
      <c r="M4" s="1">
        <v>59</v>
      </c>
      <c r="N4" s="1">
        <v>70</v>
      </c>
      <c r="O4" s="1">
        <v>71</v>
      </c>
      <c r="P4" s="1">
        <v>75</v>
      </c>
      <c r="Q4" s="1">
        <v>82</v>
      </c>
      <c r="R4" s="1">
        <v>85</v>
      </c>
      <c r="S4" s="1">
        <v>93</v>
      </c>
      <c r="T4" s="1">
        <v>100</v>
      </c>
      <c r="U4" s="1">
        <v>99</v>
      </c>
      <c r="V4" s="1"/>
      <c r="W4" s="1"/>
      <c r="X4" s="1"/>
      <c r="Y4" s="1"/>
      <c r="Z4" s="1"/>
      <c r="AA4" s="1"/>
    </row>
    <row r="5" spans="1:27">
      <c r="A5" s="2">
        <v>1.3</v>
      </c>
      <c r="B5" s="1">
        <v>0</v>
      </c>
      <c r="C5" s="1">
        <v>13</v>
      </c>
      <c r="D5" s="1">
        <v>20</v>
      </c>
      <c r="E5" s="1">
        <v>27</v>
      </c>
      <c r="F5" s="1">
        <v>40</v>
      </c>
      <c r="G5" s="1">
        <v>40</v>
      </c>
      <c r="H5" s="1">
        <v>60</v>
      </c>
      <c r="I5" s="1">
        <v>51</v>
      </c>
      <c r="J5" s="1">
        <v>65</v>
      </c>
      <c r="K5" s="1">
        <v>60</v>
      </c>
      <c r="L5" s="1">
        <v>70</v>
      </c>
      <c r="M5" s="1">
        <v>69</v>
      </c>
      <c r="N5" s="1">
        <v>75</v>
      </c>
      <c r="O5" s="1">
        <v>79</v>
      </c>
      <c r="P5" s="1">
        <v>80</v>
      </c>
      <c r="Q5" s="1">
        <v>87</v>
      </c>
      <c r="R5" s="1">
        <v>85</v>
      </c>
      <c r="S5" s="1">
        <v>95</v>
      </c>
      <c r="T5" s="1">
        <v>100</v>
      </c>
      <c r="U5" s="1">
        <v>99</v>
      </c>
      <c r="V5" s="1"/>
      <c r="W5" s="1"/>
      <c r="X5" s="1"/>
      <c r="Y5" s="1"/>
      <c r="Z5" s="1"/>
      <c r="AA5" s="1"/>
    </row>
    <row r="6" spans="1:27">
      <c r="A6" s="2" t="s">
        <v>296</v>
      </c>
      <c r="B6" s="1">
        <v>0</v>
      </c>
      <c r="C6" s="1">
        <v>4</v>
      </c>
      <c r="D6" s="1">
        <v>15</v>
      </c>
      <c r="E6" s="1">
        <v>11</v>
      </c>
      <c r="F6" s="1">
        <v>30</v>
      </c>
      <c r="G6" s="1">
        <v>24</v>
      </c>
      <c r="H6" s="1">
        <v>45</v>
      </c>
      <c r="I6" s="1">
        <v>37</v>
      </c>
      <c r="J6" s="1">
        <v>60</v>
      </c>
      <c r="K6" s="1">
        <v>50</v>
      </c>
      <c r="L6" s="1">
        <v>75</v>
      </c>
      <c r="M6" s="1">
        <v>63</v>
      </c>
      <c r="N6" s="1">
        <v>85</v>
      </c>
      <c r="O6" s="1">
        <v>74</v>
      </c>
      <c r="P6" s="1">
        <v>93</v>
      </c>
      <c r="Q6" s="1">
        <v>87</v>
      </c>
      <c r="R6" s="1">
        <v>100</v>
      </c>
      <c r="S6" s="1">
        <v>99</v>
      </c>
      <c r="T6" s="1"/>
      <c r="U6" s="1"/>
      <c r="V6" s="1"/>
      <c r="W6" s="1"/>
      <c r="X6" s="1"/>
      <c r="Y6" s="1"/>
      <c r="Z6" s="1"/>
      <c r="AA6" s="1"/>
    </row>
    <row r="7" spans="1:27">
      <c r="A7" s="2" t="s">
        <v>298</v>
      </c>
      <c r="B7" s="1">
        <v>0</v>
      </c>
      <c r="C7" s="1">
        <v>8</v>
      </c>
      <c r="D7" s="1">
        <v>15</v>
      </c>
      <c r="E7" s="1">
        <v>20</v>
      </c>
      <c r="F7" s="1">
        <v>30</v>
      </c>
      <c r="G7" s="1">
        <v>33</v>
      </c>
      <c r="H7" s="1">
        <v>45</v>
      </c>
      <c r="I7" s="1">
        <v>45</v>
      </c>
      <c r="J7" s="1">
        <v>60</v>
      </c>
      <c r="K7" s="1">
        <v>57</v>
      </c>
      <c r="L7" s="1">
        <v>75</v>
      </c>
      <c r="M7" s="1">
        <v>69</v>
      </c>
      <c r="N7" s="1">
        <v>85</v>
      </c>
      <c r="O7" s="1">
        <v>81</v>
      </c>
      <c r="P7" s="1">
        <v>90</v>
      </c>
      <c r="Q7" s="1">
        <v>92</v>
      </c>
      <c r="R7" s="1">
        <v>95</v>
      </c>
      <c r="S7" s="1">
        <v>97</v>
      </c>
      <c r="T7" s="1">
        <v>100</v>
      </c>
      <c r="U7" s="1">
        <v>99</v>
      </c>
      <c r="V7" s="1"/>
      <c r="W7" s="1"/>
      <c r="X7" s="1"/>
      <c r="Y7" s="1"/>
      <c r="Z7" s="1"/>
      <c r="AA7" s="1"/>
    </row>
    <row r="8" spans="1:27">
      <c r="A8" s="2" t="s">
        <v>300</v>
      </c>
      <c r="B8" s="1">
        <v>0</v>
      </c>
      <c r="C8" s="1">
        <v>12</v>
      </c>
      <c r="D8" s="1">
        <v>20</v>
      </c>
      <c r="E8" s="1">
        <v>25</v>
      </c>
      <c r="F8" s="1">
        <v>40</v>
      </c>
      <c r="G8" s="1">
        <v>40</v>
      </c>
      <c r="H8" s="1">
        <v>60</v>
      </c>
      <c r="I8" s="1">
        <v>53</v>
      </c>
      <c r="J8" s="1">
        <v>75</v>
      </c>
      <c r="K8" s="1">
        <v>65</v>
      </c>
      <c r="L8" s="1">
        <v>80</v>
      </c>
      <c r="M8" s="1">
        <v>74</v>
      </c>
      <c r="N8" s="1">
        <v>85</v>
      </c>
      <c r="O8" s="1">
        <v>83</v>
      </c>
      <c r="P8" s="1">
        <v>90</v>
      </c>
      <c r="Q8" s="1">
        <v>91</v>
      </c>
      <c r="R8" s="1">
        <v>95</v>
      </c>
      <c r="S8" s="1">
        <v>96</v>
      </c>
      <c r="T8" s="1">
        <v>100</v>
      </c>
      <c r="U8" s="1">
        <v>99</v>
      </c>
      <c r="V8" s="1"/>
      <c r="W8" s="1"/>
      <c r="X8" s="1"/>
      <c r="Y8" s="1"/>
      <c r="Z8" s="1"/>
      <c r="AA8" s="1"/>
    </row>
    <row r="9" spans="1:27">
      <c r="A9" s="2" t="s">
        <v>302</v>
      </c>
      <c r="B9" s="1">
        <v>0</v>
      </c>
      <c r="C9" s="1">
        <v>6</v>
      </c>
      <c r="D9" s="1">
        <v>10</v>
      </c>
      <c r="E9" s="1">
        <v>12</v>
      </c>
      <c r="F9" s="1">
        <v>20</v>
      </c>
      <c r="G9" s="1">
        <v>20</v>
      </c>
      <c r="H9" s="1">
        <v>30</v>
      </c>
      <c r="I9" s="1">
        <v>28</v>
      </c>
      <c r="J9" s="1">
        <v>40</v>
      </c>
      <c r="K9" s="1">
        <v>38</v>
      </c>
      <c r="L9" s="1">
        <v>50</v>
      </c>
      <c r="M9" s="1">
        <v>48</v>
      </c>
      <c r="N9" s="1">
        <v>60</v>
      </c>
      <c r="O9" s="1">
        <v>61</v>
      </c>
      <c r="P9" s="1">
        <v>75</v>
      </c>
      <c r="Q9" s="1">
        <v>73</v>
      </c>
      <c r="R9" s="1">
        <v>85</v>
      </c>
      <c r="S9" s="1">
        <v>87</v>
      </c>
      <c r="T9" s="1">
        <v>100</v>
      </c>
      <c r="U9" s="1">
        <v>99</v>
      </c>
      <c r="V9" s="1"/>
      <c r="W9" s="1"/>
      <c r="X9" s="1"/>
      <c r="Y9" s="1"/>
      <c r="Z9" s="1"/>
      <c r="AA9" s="1"/>
    </row>
    <row r="10" spans="1:27">
      <c r="A10" s="2" t="s">
        <v>304</v>
      </c>
      <c r="B10" s="1">
        <v>0</v>
      </c>
      <c r="C10" s="1">
        <v>24</v>
      </c>
      <c r="D10" s="1">
        <v>30</v>
      </c>
      <c r="E10" s="1">
        <v>41</v>
      </c>
      <c r="F10" s="1">
        <v>60</v>
      </c>
      <c r="G10" s="1">
        <v>54</v>
      </c>
      <c r="H10" s="1">
        <v>75</v>
      </c>
      <c r="I10" s="1">
        <v>65</v>
      </c>
      <c r="J10" s="1">
        <v>80</v>
      </c>
      <c r="K10" s="1">
        <v>75</v>
      </c>
      <c r="L10" s="1">
        <v>85</v>
      </c>
      <c r="M10" s="1">
        <v>83</v>
      </c>
      <c r="N10" s="1">
        <v>89</v>
      </c>
      <c r="O10" s="1">
        <v>88</v>
      </c>
      <c r="P10" s="1">
        <v>93</v>
      </c>
      <c r="Q10" s="1">
        <v>93</v>
      </c>
      <c r="R10" s="1">
        <v>96</v>
      </c>
      <c r="S10" s="1">
        <v>97</v>
      </c>
      <c r="T10" s="1">
        <v>100</v>
      </c>
      <c r="U10" s="1">
        <v>99</v>
      </c>
      <c r="V10" s="1"/>
      <c r="W10" s="1"/>
      <c r="X10" s="1"/>
      <c r="Y10" s="1"/>
      <c r="Z10" s="1"/>
      <c r="AA10" s="1"/>
    </row>
    <row r="11" spans="1:27">
      <c r="A11" s="2" t="s">
        <v>306</v>
      </c>
      <c r="B11" s="1">
        <v>0</v>
      </c>
      <c r="C11" s="1">
        <v>21</v>
      </c>
      <c r="D11" s="1">
        <v>20</v>
      </c>
      <c r="E11" s="1">
        <v>35</v>
      </c>
      <c r="F11" s="1">
        <v>40</v>
      </c>
      <c r="G11" s="1">
        <v>45</v>
      </c>
      <c r="H11" s="1">
        <v>60</v>
      </c>
      <c r="I11" s="1">
        <v>51</v>
      </c>
      <c r="J11" s="1">
        <v>75</v>
      </c>
      <c r="K11" s="1">
        <v>58</v>
      </c>
      <c r="L11" s="1">
        <v>78</v>
      </c>
      <c r="M11" s="1">
        <v>64</v>
      </c>
      <c r="N11" s="1">
        <v>80</v>
      </c>
      <c r="O11" s="1">
        <v>71</v>
      </c>
      <c r="P11" s="1">
        <v>83</v>
      </c>
      <c r="Q11" s="1">
        <v>80</v>
      </c>
      <c r="R11" s="1">
        <v>85</v>
      </c>
      <c r="S11" s="1">
        <v>89</v>
      </c>
      <c r="T11" s="1">
        <v>100</v>
      </c>
      <c r="U11" s="1">
        <v>99</v>
      </c>
      <c r="V11" s="1"/>
      <c r="W11" s="1"/>
      <c r="X11" s="1"/>
      <c r="Y11" s="1"/>
      <c r="Z11" s="1"/>
      <c r="AA11" s="1"/>
    </row>
    <row r="12" spans="1:27">
      <c r="A12" s="2">
        <v>3.1</v>
      </c>
      <c r="B12" s="1">
        <v>0</v>
      </c>
      <c r="C12" s="1">
        <v>6</v>
      </c>
      <c r="D12" s="1">
        <v>12</v>
      </c>
      <c r="E12" s="1">
        <v>14</v>
      </c>
      <c r="F12" s="1">
        <v>24</v>
      </c>
      <c r="G12" s="1">
        <v>23</v>
      </c>
      <c r="H12" s="1">
        <v>36</v>
      </c>
      <c r="I12" s="1">
        <v>34</v>
      </c>
      <c r="J12" s="1">
        <v>48</v>
      </c>
      <c r="K12" s="1">
        <v>49</v>
      </c>
      <c r="L12" s="1">
        <v>60</v>
      </c>
      <c r="M12" s="1">
        <v>64</v>
      </c>
      <c r="N12" s="1">
        <v>75</v>
      </c>
      <c r="O12" s="1">
        <v>77</v>
      </c>
      <c r="P12" s="1">
        <v>85</v>
      </c>
      <c r="Q12" s="1">
        <v>88</v>
      </c>
      <c r="R12" s="1">
        <v>93</v>
      </c>
      <c r="S12" s="1">
        <v>97</v>
      </c>
      <c r="T12" s="1">
        <v>100</v>
      </c>
      <c r="U12" s="1">
        <v>99</v>
      </c>
      <c r="V12" s="1"/>
      <c r="W12" s="1"/>
      <c r="X12" s="1"/>
      <c r="Y12" s="1"/>
      <c r="Z12" s="1"/>
      <c r="AA12" s="1"/>
    </row>
    <row r="13" spans="1:27">
      <c r="A13" s="2">
        <v>3.2</v>
      </c>
      <c r="B13" s="1">
        <v>0</v>
      </c>
      <c r="C13" s="1">
        <v>7</v>
      </c>
      <c r="D13" s="1">
        <v>20</v>
      </c>
      <c r="E13" s="1">
        <v>21</v>
      </c>
      <c r="F13" s="1">
        <v>40</v>
      </c>
      <c r="G13" s="1">
        <v>41</v>
      </c>
      <c r="H13" s="1">
        <v>60</v>
      </c>
      <c r="I13" s="1">
        <v>61</v>
      </c>
      <c r="J13" s="1">
        <v>75</v>
      </c>
      <c r="K13" s="1">
        <v>79</v>
      </c>
      <c r="L13" s="1">
        <v>85</v>
      </c>
      <c r="M13" s="1">
        <v>90</v>
      </c>
      <c r="N13" s="1">
        <v>93</v>
      </c>
      <c r="O13" s="1">
        <v>97</v>
      </c>
      <c r="P13" s="1">
        <v>100</v>
      </c>
      <c r="Q13" s="1">
        <v>99</v>
      </c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>
      <c r="A14" s="2">
        <v>3.3</v>
      </c>
      <c r="B14" s="1">
        <v>0</v>
      </c>
      <c r="C14" s="1">
        <v>10</v>
      </c>
      <c r="D14" s="1">
        <v>15</v>
      </c>
      <c r="E14" s="1">
        <v>22</v>
      </c>
      <c r="F14" s="1">
        <v>30</v>
      </c>
      <c r="G14" s="1">
        <v>35</v>
      </c>
      <c r="H14" s="1">
        <v>45</v>
      </c>
      <c r="I14" s="1">
        <v>46</v>
      </c>
      <c r="J14" s="1">
        <v>60</v>
      </c>
      <c r="K14" s="1">
        <v>58</v>
      </c>
      <c r="L14" s="1">
        <v>75</v>
      </c>
      <c r="M14" s="1">
        <v>70</v>
      </c>
      <c r="N14" s="1">
        <v>85</v>
      </c>
      <c r="O14" s="1">
        <v>80</v>
      </c>
      <c r="P14" s="1">
        <v>90</v>
      </c>
      <c r="Q14" s="1">
        <v>88</v>
      </c>
      <c r="R14" s="1">
        <v>95</v>
      </c>
      <c r="S14" s="1">
        <v>97</v>
      </c>
      <c r="T14" s="1">
        <v>100</v>
      </c>
      <c r="U14" s="1">
        <v>99</v>
      </c>
      <c r="V14" s="1"/>
      <c r="W14" s="1"/>
      <c r="X14" s="1"/>
      <c r="Y14" s="1"/>
      <c r="Z14" s="1"/>
      <c r="AA14" s="1"/>
    </row>
    <row r="15" spans="1:27">
      <c r="A15" s="2" t="s">
        <v>311</v>
      </c>
      <c r="B15" s="1">
        <v>0</v>
      </c>
      <c r="C15" s="1">
        <v>31</v>
      </c>
      <c r="D15" s="1">
        <v>60</v>
      </c>
      <c r="E15" s="1">
        <v>54</v>
      </c>
      <c r="F15" s="1">
        <v>68</v>
      </c>
      <c r="G15" s="1">
        <v>70</v>
      </c>
      <c r="H15" s="1">
        <v>75</v>
      </c>
      <c r="I15" s="1">
        <v>81</v>
      </c>
      <c r="J15" s="1">
        <v>85</v>
      </c>
      <c r="K15" s="1">
        <v>89</v>
      </c>
      <c r="L15" s="1">
        <v>90</v>
      </c>
      <c r="M15" s="1">
        <v>95</v>
      </c>
      <c r="N15" s="1">
        <v>95</v>
      </c>
      <c r="O15" s="1">
        <v>98</v>
      </c>
      <c r="P15" s="1">
        <v>100</v>
      </c>
      <c r="Q15" s="1">
        <v>99</v>
      </c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>
      <c r="A16" s="2" t="s">
        <v>313</v>
      </c>
      <c r="B16" s="1">
        <v>0</v>
      </c>
      <c r="C16" s="1">
        <v>7</v>
      </c>
      <c r="D16" s="1">
        <v>15</v>
      </c>
      <c r="E16" s="1">
        <v>15</v>
      </c>
      <c r="F16" s="1">
        <v>30</v>
      </c>
      <c r="G16" s="1">
        <v>25</v>
      </c>
      <c r="H16" s="1">
        <v>45</v>
      </c>
      <c r="I16" s="1">
        <v>35</v>
      </c>
      <c r="J16" s="1">
        <v>60</v>
      </c>
      <c r="K16" s="1">
        <v>47</v>
      </c>
      <c r="L16" s="1">
        <v>65</v>
      </c>
      <c r="M16" s="1">
        <v>58</v>
      </c>
      <c r="N16" s="1">
        <v>70</v>
      </c>
      <c r="O16" s="1">
        <v>68</v>
      </c>
      <c r="P16" s="1">
        <v>75</v>
      </c>
      <c r="Q16" s="1">
        <v>80</v>
      </c>
      <c r="R16" s="1">
        <v>85</v>
      </c>
      <c r="S16" s="1">
        <v>91</v>
      </c>
      <c r="T16" s="1">
        <v>93</v>
      </c>
      <c r="U16" s="1">
        <v>98</v>
      </c>
      <c r="V16" s="1">
        <v>100</v>
      </c>
      <c r="W16" s="1">
        <v>99</v>
      </c>
      <c r="X16" s="1"/>
      <c r="Y16" s="1"/>
      <c r="Z16" s="1"/>
      <c r="AA16" s="1"/>
    </row>
    <row r="17" spans="1:27">
      <c r="A17" s="2" t="s">
        <v>315</v>
      </c>
      <c r="B17" s="1">
        <v>0</v>
      </c>
      <c r="C17" s="1">
        <v>5</v>
      </c>
      <c r="D17" s="1">
        <v>12</v>
      </c>
      <c r="E17" s="1">
        <v>15</v>
      </c>
      <c r="F17" s="1">
        <v>24</v>
      </c>
      <c r="G17" s="1">
        <v>25</v>
      </c>
      <c r="H17" s="1">
        <v>36</v>
      </c>
      <c r="I17" s="1">
        <v>34</v>
      </c>
      <c r="J17" s="1">
        <v>48</v>
      </c>
      <c r="K17" s="1">
        <v>43</v>
      </c>
      <c r="L17" s="1">
        <v>60</v>
      </c>
      <c r="M17" s="1">
        <v>52</v>
      </c>
      <c r="N17" s="1">
        <v>64</v>
      </c>
      <c r="O17" s="1">
        <v>60</v>
      </c>
      <c r="P17" s="1">
        <v>68</v>
      </c>
      <c r="Q17" s="1">
        <v>68</v>
      </c>
      <c r="R17" s="1">
        <v>75</v>
      </c>
      <c r="S17" s="1">
        <v>81</v>
      </c>
      <c r="T17" s="1">
        <v>75</v>
      </c>
      <c r="U17" s="1">
        <v>81</v>
      </c>
      <c r="V17" s="1">
        <v>85</v>
      </c>
      <c r="W17" s="1">
        <v>90</v>
      </c>
      <c r="X17" s="1">
        <v>93</v>
      </c>
      <c r="Y17" s="1">
        <v>96</v>
      </c>
      <c r="Z17" s="1">
        <v>100</v>
      </c>
      <c r="AA17" s="1">
        <v>99</v>
      </c>
    </row>
    <row r="18" spans="1:27">
      <c r="A18" s="2" t="s">
        <v>317</v>
      </c>
      <c r="B18" s="1">
        <v>0</v>
      </c>
      <c r="C18" s="1">
        <v>11</v>
      </c>
      <c r="D18" s="1">
        <v>20</v>
      </c>
      <c r="E18" s="1">
        <v>27</v>
      </c>
      <c r="F18" s="1">
        <v>40</v>
      </c>
      <c r="G18" s="1">
        <v>41</v>
      </c>
      <c r="H18" s="1">
        <v>60</v>
      </c>
      <c r="I18" s="1">
        <v>52</v>
      </c>
      <c r="J18" s="1">
        <v>64</v>
      </c>
      <c r="K18" s="1">
        <v>61</v>
      </c>
      <c r="L18" s="1">
        <v>68</v>
      </c>
      <c r="M18" s="1">
        <v>71</v>
      </c>
      <c r="N18" s="1">
        <v>71</v>
      </c>
      <c r="O18" s="1">
        <v>78</v>
      </c>
      <c r="P18" s="1">
        <v>75</v>
      </c>
      <c r="Q18" s="1">
        <v>90</v>
      </c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>
      <c r="A19" s="2" t="s">
        <v>319</v>
      </c>
      <c r="B19" s="1">
        <v>0</v>
      </c>
      <c r="C19" s="1">
        <v>7</v>
      </c>
      <c r="D19" s="1">
        <v>20</v>
      </c>
      <c r="E19" s="1">
        <v>22</v>
      </c>
      <c r="F19" s="1">
        <v>40</v>
      </c>
      <c r="G19" s="1">
        <v>36</v>
      </c>
      <c r="H19" s="1">
        <v>60</v>
      </c>
      <c r="I19" s="1">
        <v>46</v>
      </c>
      <c r="J19" s="1">
        <v>65</v>
      </c>
      <c r="K19" s="1">
        <v>59</v>
      </c>
      <c r="L19" s="1">
        <v>70</v>
      </c>
      <c r="M19" s="1">
        <v>73</v>
      </c>
      <c r="N19" s="1">
        <v>75</v>
      </c>
      <c r="O19" s="1">
        <v>86</v>
      </c>
      <c r="P19" s="1">
        <v>85</v>
      </c>
      <c r="Q19" s="1">
        <v>95</v>
      </c>
      <c r="R19" s="1">
        <v>100</v>
      </c>
      <c r="S19" s="1">
        <v>99</v>
      </c>
      <c r="T19" s="1">
        <v>100</v>
      </c>
      <c r="U19" s="1">
        <v>99</v>
      </c>
      <c r="V19" s="1"/>
      <c r="W19" s="1"/>
      <c r="X19" s="1"/>
      <c r="Y19" s="1"/>
      <c r="Z19" s="1"/>
      <c r="AA19" s="1"/>
    </row>
    <row r="20" spans="1:27">
      <c r="A20" s="2" t="s">
        <v>321</v>
      </c>
      <c r="B20" s="1">
        <v>0</v>
      </c>
      <c r="C20" s="1">
        <v>7</v>
      </c>
      <c r="D20" s="1">
        <v>15</v>
      </c>
      <c r="E20" s="1">
        <v>17</v>
      </c>
      <c r="F20" s="1">
        <v>30</v>
      </c>
      <c r="G20" s="1">
        <v>29</v>
      </c>
      <c r="H20" s="1">
        <v>45</v>
      </c>
      <c r="I20" s="1">
        <v>43</v>
      </c>
      <c r="J20" s="1">
        <v>60</v>
      </c>
      <c r="K20" s="1">
        <v>56</v>
      </c>
      <c r="L20" s="1">
        <v>68</v>
      </c>
      <c r="M20" s="1">
        <v>69</v>
      </c>
      <c r="N20" s="1">
        <v>75</v>
      </c>
      <c r="O20" s="1">
        <v>84</v>
      </c>
      <c r="P20" s="1">
        <v>85</v>
      </c>
      <c r="Q20" s="1">
        <v>95</v>
      </c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>
      <c r="A21" s="2">
        <v>5.0999999999999996</v>
      </c>
      <c r="B21" s="1">
        <v>0</v>
      </c>
      <c r="C21" s="1">
        <v>26</v>
      </c>
      <c r="D21" s="1">
        <v>60</v>
      </c>
      <c r="E21" s="1">
        <v>47</v>
      </c>
      <c r="F21" s="1">
        <v>65</v>
      </c>
      <c r="G21" s="1">
        <v>64</v>
      </c>
      <c r="H21" s="1">
        <v>70</v>
      </c>
      <c r="I21" s="1">
        <v>76</v>
      </c>
      <c r="J21" s="1">
        <v>75</v>
      </c>
      <c r="K21" s="1">
        <v>84</v>
      </c>
      <c r="L21" s="1">
        <v>80</v>
      </c>
      <c r="M21" s="1">
        <v>90</v>
      </c>
      <c r="N21" s="1">
        <v>85</v>
      </c>
      <c r="O21" s="1">
        <v>95</v>
      </c>
      <c r="P21" s="1">
        <v>90</v>
      </c>
      <c r="Q21" s="1">
        <v>98</v>
      </c>
      <c r="R21" s="1">
        <v>100</v>
      </c>
      <c r="S21" s="1">
        <v>99</v>
      </c>
      <c r="T21" s="1">
        <v>100</v>
      </c>
      <c r="U21" s="1">
        <v>99</v>
      </c>
      <c r="V21" s="1"/>
      <c r="W21" s="1"/>
      <c r="X21" s="1"/>
      <c r="Y21" s="1"/>
      <c r="Z21" s="1"/>
      <c r="AA21" s="1"/>
    </row>
    <row r="22" spans="1:27">
      <c r="A22" s="2">
        <v>5.2</v>
      </c>
      <c r="B22" s="1">
        <v>0</v>
      </c>
      <c r="C22" s="1">
        <v>6</v>
      </c>
      <c r="D22" s="1">
        <v>15</v>
      </c>
      <c r="E22" s="1">
        <v>18</v>
      </c>
      <c r="F22" s="1">
        <v>30</v>
      </c>
      <c r="G22" s="1">
        <v>31</v>
      </c>
      <c r="H22" s="1">
        <v>45</v>
      </c>
      <c r="I22" s="1">
        <v>40</v>
      </c>
      <c r="J22" s="1">
        <v>60</v>
      </c>
      <c r="K22" s="1">
        <v>52</v>
      </c>
      <c r="L22" s="1">
        <v>64</v>
      </c>
      <c r="M22" s="1">
        <v>61</v>
      </c>
      <c r="N22" s="1">
        <v>68</v>
      </c>
      <c r="O22" s="1">
        <v>71</v>
      </c>
      <c r="P22" s="1">
        <v>71</v>
      </c>
      <c r="Q22" s="1">
        <v>78</v>
      </c>
      <c r="R22" s="1">
        <v>85</v>
      </c>
      <c r="S22" s="1">
        <v>86</v>
      </c>
      <c r="T22" s="1">
        <v>85</v>
      </c>
      <c r="U22" s="1">
        <v>96</v>
      </c>
      <c r="V22" s="1">
        <v>100</v>
      </c>
      <c r="W22" s="1">
        <v>99</v>
      </c>
      <c r="X22" s="1"/>
      <c r="Y22" s="1"/>
      <c r="Z22" s="1"/>
      <c r="AA22" s="1"/>
    </row>
    <row r="23" spans="1:27">
      <c r="A23" s="2">
        <v>5.3</v>
      </c>
      <c r="B23" s="1">
        <v>0</v>
      </c>
      <c r="C23" s="1">
        <v>26</v>
      </c>
      <c r="D23" s="1">
        <v>60</v>
      </c>
      <c r="E23" s="1">
        <v>50</v>
      </c>
      <c r="F23" s="1">
        <v>65</v>
      </c>
      <c r="G23" s="1">
        <v>69</v>
      </c>
      <c r="H23" s="1">
        <v>70</v>
      </c>
      <c r="I23" s="1">
        <v>80</v>
      </c>
      <c r="J23" s="1">
        <v>75</v>
      </c>
      <c r="K23" s="1">
        <v>90</v>
      </c>
      <c r="L23" s="1">
        <v>85</v>
      </c>
      <c r="M23" s="1">
        <v>96</v>
      </c>
      <c r="N23" s="1">
        <v>90</v>
      </c>
      <c r="O23" s="1">
        <v>99</v>
      </c>
      <c r="P23" s="1">
        <v>95</v>
      </c>
      <c r="Q23" s="1">
        <v>99</v>
      </c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>
      <c r="A24" s="2" t="s">
        <v>326</v>
      </c>
      <c r="B24" s="1">
        <v>0</v>
      </c>
      <c r="C24" s="1">
        <v>21</v>
      </c>
      <c r="D24" s="1">
        <v>60</v>
      </c>
      <c r="E24" s="1">
        <v>47</v>
      </c>
      <c r="F24" s="1">
        <v>65</v>
      </c>
      <c r="G24" s="1">
        <v>65</v>
      </c>
      <c r="H24" s="1">
        <v>70</v>
      </c>
      <c r="I24" s="1">
        <v>79</v>
      </c>
      <c r="J24" s="1">
        <v>75</v>
      </c>
      <c r="K24" s="1">
        <v>88</v>
      </c>
      <c r="L24" s="1">
        <v>85</v>
      </c>
      <c r="M24" s="1">
        <v>94</v>
      </c>
      <c r="N24" s="1">
        <v>90</v>
      </c>
      <c r="O24" s="1">
        <v>98</v>
      </c>
      <c r="P24" s="1">
        <v>95</v>
      </c>
      <c r="Q24" s="1">
        <v>99</v>
      </c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>
      <c r="A25" s="2" t="s">
        <v>328</v>
      </c>
      <c r="B25" s="1">
        <v>0</v>
      </c>
      <c r="C25" s="1">
        <v>16</v>
      </c>
      <c r="D25" s="1">
        <v>30</v>
      </c>
      <c r="E25" s="1">
        <v>37</v>
      </c>
      <c r="F25" s="1">
        <v>60</v>
      </c>
      <c r="G25" s="1">
        <v>60</v>
      </c>
      <c r="H25" s="1">
        <v>65</v>
      </c>
      <c r="I25" s="1">
        <v>76</v>
      </c>
      <c r="J25" s="1">
        <v>70</v>
      </c>
      <c r="K25" s="1">
        <v>86</v>
      </c>
      <c r="L25" s="1">
        <v>75</v>
      </c>
      <c r="M25" s="1">
        <v>93</v>
      </c>
      <c r="N25" s="1">
        <v>85</v>
      </c>
      <c r="O25" s="1">
        <v>97</v>
      </c>
      <c r="P25" s="1">
        <v>89</v>
      </c>
      <c r="Q25" s="1">
        <v>99</v>
      </c>
      <c r="R25" s="1">
        <v>96</v>
      </c>
      <c r="S25" s="1">
        <v>99</v>
      </c>
      <c r="T25" s="1">
        <v>96</v>
      </c>
      <c r="U25" s="1">
        <v>99</v>
      </c>
      <c r="V25" s="1">
        <v>100</v>
      </c>
      <c r="W25" s="1">
        <v>99</v>
      </c>
      <c r="X25" s="1"/>
      <c r="Y25" s="1"/>
      <c r="Z25" s="1"/>
      <c r="AA25" s="1"/>
    </row>
    <row r="26" spans="1:27">
      <c r="A26" s="2" t="s">
        <v>330</v>
      </c>
      <c r="B26" s="1">
        <v>0</v>
      </c>
      <c r="C26" s="1">
        <v>27</v>
      </c>
      <c r="D26" s="1">
        <v>60</v>
      </c>
      <c r="E26" s="1">
        <v>48</v>
      </c>
      <c r="F26" s="1">
        <v>64</v>
      </c>
      <c r="G26" s="1">
        <v>71</v>
      </c>
      <c r="H26" s="1">
        <v>68</v>
      </c>
      <c r="I26" s="1">
        <v>81</v>
      </c>
      <c r="J26" s="1">
        <v>71</v>
      </c>
      <c r="K26" s="1">
        <v>87</v>
      </c>
      <c r="L26" s="1">
        <v>75</v>
      </c>
      <c r="M26" s="1">
        <v>90</v>
      </c>
      <c r="N26" s="1">
        <v>80</v>
      </c>
      <c r="O26" s="1">
        <v>93</v>
      </c>
      <c r="P26" s="1">
        <v>85</v>
      </c>
      <c r="Q26" s="1">
        <v>96</v>
      </c>
      <c r="R26" s="1">
        <v>95</v>
      </c>
      <c r="S26" s="1">
        <v>99</v>
      </c>
      <c r="T26" s="1">
        <v>95</v>
      </c>
      <c r="U26" s="1">
        <v>99</v>
      </c>
      <c r="V26" s="1">
        <v>100</v>
      </c>
      <c r="W26" s="1">
        <v>99</v>
      </c>
      <c r="X26" s="1"/>
      <c r="Y26" s="1"/>
      <c r="Z26" s="1"/>
      <c r="AA26" s="1"/>
    </row>
    <row r="27" spans="1:27">
      <c r="A27" s="2" t="s">
        <v>332</v>
      </c>
      <c r="B27" s="1">
        <v>0</v>
      </c>
      <c r="C27" s="1">
        <v>11</v>
      </c>
      <c r="D27" s="1">
        <v>20</v>
      </c>
      <c r="E27" s="1">
        <v>26</v>
      </c>
      <c r="F27" s="1">
        <v>40</v>
      </c>
      <c r="G27" s="1">
        <v>42</v>
      </c>
      <c r="H27" s="1">
        <v>60</v>
      </c>
      <c r="I27" s="1">
        <v>55</v>
      </c>
      <c r="J27" s="1">
        <v>64</v>
      </c>
      <c r="K27" s="1">
        <v>70</v>
      </c>
      <c r="L27" s="1">
        <v>68</v>
      </c>
      <c r="M27" s="1">
        <v>81</v>
      </c>
      <c r="N27" s="1">
        <v>71</v>
      </c>
      <c r="O27" s="1">
        <v>87</v>
      </c>
      <c r="P27" s="1">
        <v>75</v>
      </c>
      <c r="Q27" s="1">
        <v>93</v>
      </c>
      <c r="R27" s="1">
        <v>90</v>
      </c>
      <c r="S27" s="1">
        <v>99</v>
      </c>
      <c r="T27" s="1">
        <v>90</v>
      </c>
      <c r="U27" s="1">
        <v>99</v>
      </c>
      <c r="V27" s="1">
        <v>95</v>
      </c>
      <c r="W27" s="1">
        <v>99</v>
      </c>
      <c r="X27" s="1">
        <v>100</v>
      </c>
      <c r="Y27" s="1">
        <v>99</v>
      </c>
      <c r="Z27" s="1"/>
      <c r="AA27" s="1"/>
    </row>
    <row r="28" spans="1:27">
      <c r="A28" s="2" t="s">
        <v>334</v>
      </c>
      <c r="B28" s="1">
        <v>0</v>
      </c>
      <c r="C28" s="1">
        <v>22</v>
      </c>
      <c r="D28" s="1">
        <v>60</v>
      </c>
      <c r="E28" s="1">
        <v>43</v>
      </c>
      <c r="F28" s="1">
        <v>64</v>
      </c>
      <c r="G28" s="1">
        <v>63</v>
      </c>
      <c r="H28" s="1">
        <v>68</v>
      </c>
      <c r="I28" s="1">
        <v>77</v>
      </c>
      <c r="J28" s="1">
        <v>71</v>
      </c>
      <c r="K28" s="1">
        <v>88</v>
      </c>
      <c r="L28" s="1">
        <v>75</v>
      </c>
      <c r="M28" s="1">
        <v>95</v>
      </c>
      <c r="N28" s="1">
        <v>85</v>
      </c>
      <c r="O28" s="1">
        <v>99</v>
      </c>
      <c r="P28" s="1">
        <v>100</v>
      </c>
      <c r="Q28" s="1">
        <v>99</v>
      </c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>
      <c r="A29" s="2" t="s">
        <v>336</v>
      </c>
      <c r="B29" s="1">
        <v>0</v>
      </c>
      <c r="C29" s="1">
        <v>25</v>
      </c>
      <c r="D29" s="1">
        <v>60</v>
      </c>
      <c r="E29" s="1">
        <v>47</v>
      </c>
      <c r="F29" s="1">
        <v>64</v>
      </c>
      <c r="G29" s="1">
        <v>60</v>
      </c>
      <c r="H29" s="1">
        <v>68</v>
      </c>
      <c r="I29" s="1">
        <v>71</v>
      </c>
      <c r="J29" s="1">
        <v>71</v>
      </c>
      <c r="K29" s="1">
        <v>80</v>
      </c>
      <c r="L29" s="1">
        <v>75</v>
      </c>
      <c r="M29" s="1">
        <v>89</v>
      </c>
      <c r="N29" s="1">
        <v>85</v>
      </c>
      <c r="O29" s="1">
        <v>97</v>
      </c>
      <c r="P29" s="1">
        <v>100</v>
      </c>
      <c r="Q29" s="1">
        <v>99</v>
      </c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>
      <c r="A30" s="2">
        <v>7.1</v>
      </c>
      <c r="B30" s="1">
        <v>0</v>
      </c>
      <c r="C30" s="1">
        <v>1</v>
      </c>
      <c r="D30" s="1">
        <v>12</v>
      </c>
      <c r="E30" s="1">
        <v>6</v>
      </c>
      <c r="F30" s="1">
        <v>24</v>
      </c>
      <c r="G30" s="1">
        <v>16</v>
      </c>
      <c r="H30" s="1">
        <v>36</v>
      </c>
      <c r="I30" s="1">
        <v>26</v>
      </c>
      <c r="J30" s="1">
        <v>48</v>
      </c>
      <c r="K30" s="1">
        <v>45</v>
      </c>
      <c r="L30" s="1">
        <v>60</v>
      </c>
      <c r="M30" s="1">
        <v>61</v>
      </c>
      <c r="N30" s="1">
        <v>75</v>
      </c>
      <c r="O30" s="1">
        <v>75</v>
      </c>
      <c r="P30" s="1">
        <v>85</v>
      </c>
      <c r="Q30" s="1">
        <v>88</v>
      </c>
      <c r="R30" s="1">
        <v>100</v>
      </c>
      <c r="S30" s="1">
        <v>99</v>
      </c>
      <c r="T30" s="1"/>
      <c r="U30" s="1"/>
      <c r="V30" s="1"/>
      <c r="W30" s="1"/>
      <c r="X30" s="1"/>
      <c r="Y30" s="1"/>
      <c r="Z30" s="1"/>
      <c r="AA30" s="1"/>
    </row>
    <row r="31" spans="1:27">
      <c r="A31" s="2">
        <v>7.2</v>
      </c>
      <c r="B31" s="1">
        <v>0</v>
      </c>
      <c r="C31" s="1">
        <v>2</v>
      </c>
      <c r="D31" s="1">
        <v>9</v>
      </c>
      <c r="E31" s="1">
        <v>7</v>
      </c>
      <c r="F31" s="1">
        <v>17</v>
      </c>
      <c r="G31" s="1">
        <v>14</v>
      </c>
      <c r="H31" s="1">
        <v>26</v>
      </c>
      <c r="I31" s="1">
        <v>22</v>
      </c>
      <c r="J31" s="1">
        <v>34</v>
      </c>
      <c r="K31" s="1">
        <v>29</v>
      </c>
      <c r="L31" s="1">
        <v>43</v>
      </c>
      <c r="M31" s="1">
        <v>39</v>
      </c>
      <c r="N31" s="1">
        <v>51</v>
      </c>
      <c r="O31" s="1">
        <v>49</v>
      </c>
      <c r="P31" s="1">
        <v>60</v>
      </c>
      <c r="Q31" s="1">
        <v>59</v>
      </c>
      <c r="R31" s="1">
        <v>75</v>
      </c>
      <c r="S31" s="1">
        <v>69</v>
      </c>
      <c r="T31" s="1">
        <v>80</v>
      </c>
      <c r="U31" s="1">
        <v>80</v>
      </c>
      <c r="V31" s="1">
        <v>85</v>
      </c>
      <c r="W31" s="1">
        <v>89</v>
      </c>
      <c r="X31" s="1">
        <v>93</v>
      </c>
      <c r="Y31" s="1">
        <v>95</v>
      </c>
      <c r="Z31" s="1">
        <v>100</v>
      </c>
      <c r="AA31" s="1">
        <v>99</v>
      </c>
    </row>
    <row r="32" spans="1:27">
      <c r="A32" s="2">
        <v>7.3</v>
      </c>
      <c r="B32" s="1">
        <v>0</v>
      </c>
      <c r="C32" s="1">
        <v>1</v>
      </c>
      <c r="D32" s="1">
        <v>9</v>
      </c>
      <c r="E32" s="1">
        <v>1</v>
      </c>
      <c r="F32" s="1">
        <v>17</v>
      </c>
      <c r="G32" s="1">
        <v>3</v>
      </c>
      <c r="H32" s="1">
        <v>26</v>
      </c>
      <c r="I32" s="1">
        <v>6</v>
      </c>
      <c r="J32" s="1">
        <v>34</v>
      </c>
      <c r="K32" s="1">
        <v>11</v>
      </c>
      <c r="L32" s="1">
        <v>43</v>
      </c>
      <c r="M32" s="1">
        <v>19</v>
      </c>
      <c r="N32" s="1">
        <v>51</v>
      </c>
      <c r="O32" s="1">
        <v>36</v>
      </c>
      <c r="P32" s="1">
        <v>60</v>
      </c>
      <c r="Q32" s="1">
        <v>56</v>
      </c>
      <c r="R32" s="1">
        <v>75</v>
      </c>
      <c r="S32" s="1">
        <v>81</v>
      </c>
      <c r="T32" s="1">
        <v>85</v>
      </c>
      <c r="U32" s="1">
        <v>99</v>
      </c>
      <c r="V32" s="1"/>
      <c r="W32" s="1"/>
      <c r="X32" s="1"/>
      <c r="Y32" s="1"/>
      <c r="Z32" s="1"/>
      <c r="AA32" s="1"/>
    </row>
    <row r="33" spans="1:27">
      <c r="A33" s="2" t="s">
        <v>341</v>
      </c>
      <c r="B33" s="1">
        <v>0</v>
      </c>
      <c r="C33" s="1">
        <v>13</v>
      </c>
      <c r="D33" s="1">
        <v>20</v>
      </c>
      <c r="E33" s="1">
        <v>28</v>
      </c>
      <c r="F33" s="1">
        <v>40</v>
      </c>
      <c r="G33" s="1">
        <v>43</v>
      </c>
      <c r="H33" s="1">
        <v>60</v>
      </c>
      <c r="I33" s="1">
        <v>55</v>
      </c>
      <c r="J33" s="1">
        <v>68</v>
      </c>
      <c r="K33" s="1">
        <v>66</v>
      </c>
      <c r="L33" s="1">
        <v>75</v>
      </c>
      <c r="M33" s="1">
        <v>79</v>
      </c>
      <c r="N33" s="1">
        <v>80</v>
      </c>
      <c r="O33" s="1">
        <v>88</v>
      </c>
      <c r="P33" s="1">
        <v>85</v>
      </c>
      <c r="Q33" s="1">
        <v>94</v>
      </c>
      <c r="R33" s="1">
        <v>93</v>
      </c>
      <c r="S33" s="1">
        <v>98</v>
      </c>
      <c r="T33" s="1">
        <v>100</v>
      </c>
      <c r="U33" s="1">
        <v>99</v>
      </c>
      <c r="V33" s="1"/>
      <c r="W33" s="1"/>
      <c r="X33" s="1"/>
      <c r="Y33" s="1"/>
      <c r="Z33" s="1"/>
      <c r="AA33" s="1"/>
    </row>
    <row r="34" spans="1:27">
      <c r="A34" s="2" t="s">
        <v>343</v>
      </c>
      <c r="B34" s="1">
        <v>0</v>
      </c>
      <c r="C34" s="1">
        <v>6</v>
      </c>
      <c r="D34" s="1">
        <v>15</v>
      </c>
      <c r="E34" s="1">
        <v>15</v>
      </c>
      <c r="F34" s="1">
        <v>30</v>
      </c>
      <c r="G34" s="1">
        <v>24</v>
      </c>
      <c r="H34" s="1">
        <v>45</v>
      </c>
      <c r="I34" s="1">
        <v>36</v>
      </c>
      <c r="J34" s="1">
        <v>60</v>
      </c>
      <c r="K34" s="1">
        <v>47</v>
      </c>
      <c r="L34" s="1">
        <v>65</v>
      </c>
      <c r="M34" s="1">
        <v>58</v>
      </c>
      <c r="N34" s="1">
        <v>70</v>
      </c>
      <c r="O34" s="1">
        <v>68</v>
      </c>
      <c r="P34" s="1">
        <v>75</v>
      </c>
      <c r="Q34" s="1">
        <v>78</v>
      </c>
      <c r="R34" s="1">
        <v>80</v>
      </c>
      <c r="S34" s="1">
        <v>86</v>
      </c>
      <c r="T34" s="1">
        <v>85</v>
      </c>
      <c r="U34" s="1">
        <v>93</v>
      </c>
      <c r="V34" s="1">
        <v>93</v>
      </c>
      <c r="W34" s="1">
        <v>98</v>
      </c>
      <c r="X34" s="1">
        <v>100</v>
      </c>
      <c r="Y34" s="1">
        <v>99</v>
      </c>
      <c r="Z34" s="1"/>
      <c r="AA34" s="1"/>
    </row>
    <row r="35" spans="1:27">
      <c r="A35" s="2" t="s">
        <v>345</v>
      </c>
      <c r="B35" s="1">
        <v>0</v>
      </c>
      <c r="C35" s="1">
        <v>15</v>
      </c>
      <c r="D35" s="1">
        <v>20</v>
      </c>
      <c r="E35" s="1">
        <v>32</v>
      </c>
      <c r="F35" s="1">
        <v>40</v>
      </c>
      <c r="G35" s="1">
        <v>44</v>
      </c>
      <c r="H35" s="1">
        <v>60</v>
      </c>
      <c r="I35" s="1">
        <v>55</v>
      </c>
      <c r="J35" s="1">
        <v>65</v>
      </c>
      <c r="K35" s="1">
        <v>63</v>
      </c>
      <c r="L35" s="1">
        <v>70</v>
      </c>
      <c r="M35" s="1">
        <v>72</v>
      </c>
      <c r="N35" s="1">
        <v>75</v>
      </c>
      <c r="O35" s="1">
        <v>80</v>
      </c>
      <c r="P35" s="1">
        <v>80</v>
      </c>
      <c r="Q35" s="1">
        <v>85</v>
      </c>
      <c r="R35" s="1">
        <v>85</v>
      </c>
      <c r="S35" s="1">
        <v>91</v>
      </c>
      <c r="T35" s="1">
        <v>93</v>
      </c>
      <c r="U35" s="1">
        <v>96</v>
      </c>
      <c r="V35" s="1">
        <v>100</v>
      </c>
      <c r="W35" s="1">
        <v>99</v>
      </c>
      <c r="X35" s="1"/>
      <c r="Y35" s="1"/>
      <c r="Z35" s="1"/>
      <c r="AA35" s="1"/>
    </row>
    <row r="36" spans="1:27">
      <c r="A36" s="2" t="s">
        <v>347</v>
      </c>
      <c r="B36" s="1">
        <v>0</v>
      </c>
      <c r="C36" s="1">
        <v>9</v>
      </c>
      <c r="D36" s="1">
        <v>15</v>
      </c>
      <c r="E36" s="1">
        <v>18</v>
      </c>
      <c r="F36" s="1">
        <v>30</v>
      </c>
      <c r="G36" s="1">
        <v>32</v>
      </c>
      <c r="H36" s="1">
        <v>45</v>
      </c>
      <c r="I36" s="1">
        <v>44</v>
      </c>
      <c r="J36" s="1">
        <v>60</v>
      </c>
      <c r="K36" s="1">
        <v>53</v>
      </c>
      <c r="L36" s="1">
        <v>64</v>
      </c>
      <c r="M36" s="1">
        <v>64</v>
      </c>
      <c r="N36" s="1">
        <v>68</v>
      </c>
      <c r="O36" s="1">
        <v>71</v>
      </c>
      <c r="P36" s="1">
        <v>71</v>
      </c>
      <c r="Q36" s="1">
        <v>79</v>
      </c>
      <c r="R36" s="1">
        <v>75</v>
      </c>
      <c r="S36" s="1">
        <v>85</v>
      </c>
      <c r="T36" s="1">
        <v>80</v>
      </c>
      <c r="U36" s="1">
        <v>90</v>
      </c>
      <c r="V36" s="1">
        <v>85</v>
      </c>
      <c r="W36" s="1">
        <v>95</v>
      </c>
      <c r="X36" s="1">
        <v>93</v>
      </c>
      <c r="Y36" s="1">
        <v>98</v>
      </c>
      <c r="Z36" s="1">
        <v>100</v>
      </c>
      <c r="AA36" s="1">
        <v>99</v>
      </c>
    </row>
    <row r="37" spans="1:27">
      <c r="A37" s="2" t="s">
        <v>349</v>
      </c>
      <c r="B37" s="1">
        <v>0</v>
      </c>
      <c r="C37" s="1">
        <v>13</v>
      </c>
      <c r="D37" s="1">
        <v>20</v>
      </c>
      <c r="E37" s="1">
        <v>25</v>
      </c>
      <c r="F37" s="1">
        <v>40</v>
      </c>
      <c r="G37" s="1">
        <v>37</v>
      </c>
      <c r="H37" s="1">
        <v>60</v>
      </c>
      <c r="I37" s="1">
        <v>49</v>
      </c>
      <c r="J37" s="1">
        <v>65</v>
      </c>
      <c r="K37" s="1">
        <v>60</v>
      </c>
      <c r="L37" s="1">
        <v>70</v>
      </c>
      <c r="M37" s="1">
        <v>71</v>
      </c>
      <c r="N37" s="1">
        <v>75</v>
      </c>
      <c r="O37" s="1">
        <v>82</v>
      </c>
      <c r="P37" s="1">
        <v>80</v>
      </c>
      <c r="Q37" s="1">
        <v>91</v>
      </c>
      <c r="R37" s="1">
        <v>85</v>
      </c>
      <c r="S37" s="1">
        <v>97</v>
      </c>
      <c r="T37" s="1">
        <v>100</v>
      </c>
      <c r="U37" s="1">
        <v>99</v>
      </c>
      <c r="V37" s="1"/>
      <c r="W37" s="1"/>
      <c r="X37" s="1"/>
      <c r="Y37" s="1"/>
      <c r="Z37" s="1"/>
      <c r="AA37" s="1"/>
    </row>
    <row r="38" spans="1:27">
      <c r="A38" s="2" t="s">
        <v>351</v>
      </c>
      <c r="B38" s="1">
        <v>0</v>
      </c>
      <c r="C38" s="1">
        <v>7</v>
      </c>
      <c r="D38" s="1">
        <v>12</v>
      </c>
      <c r="E38" s="1">
        <v>17</v>
      </c>
      <c r="F38" s="1">
        <v>24</v>
      </c>
      <c r="G38" s="1">
        <v>23</v>
      </c>
      <c r="H38" s="1">
        <v>36</v>
      </c>
      <c r="I38" s="1">
        <v>33</v>
      </c>
      <c r="J38" s="1">
        <v>48</v>
      </c>
      <c r="K38" s="1">
        <v>44</v>
      </c>
      <c r="L38" s="1">
        <v>60</v>
      </c>
      <c r="M38" s="1">
        <v>54</v>
      </c>
      <c r="N38" s="1">
        <v>65</v>
      </c>
      <c r="O38" s="1">
        <v>64</v>
      </c>
      <c r="P38" s="1">
        <v>70</v>
      </c>
      <c r="Q38" s="1">
        <v>75</v>
      </c>
      <c r="R38" s="1">
        <v>75</v>
      </c>
      <c r="S38" s="1">
        <v>89</v>
      </c>
      <c r="T38" s="1">
        <v>85</v>
      </c>
      <c r="U38" s="1">
        <v>99</v>
      </c>
      <c r="V38" s="1"/>
      <c r="W38" s="1"/>
      <c r="X38" s="1"/>
      <c r="Y38" s="1"/>
      <c r="Z38" s="1"/>
      <c r="AA38" s="1"/>
    </row>
    <row r="39" spans="1:27">
      <c r="A39" s="2" t="s">
        <v>393</v>
      </c>
      <c r="B39" s="1">
        <v>0</v>
      </c>
      <c r="C39" s="1">
        <v>7</v>
      </c>
      <c r="D39" s="1">
        <v>15</v>
      </c>
      <c r="E39" s="1">
        <v>16</v>
      </c>
      <c r="F39" s="1">
        <v>30</v>
      </c>
      <c r="G39" s="1">
        <v>26</v>
      </c>
      <c r="H39" s="1">
        <v>45</v>
      </c>
      <c r="I39" s="1">
        <v>35</v>
      </c>
      <c r="J39" s="1">
        <v>60</v>
      </c>
      <c r="K39" s="1">
        <v>46</v>
      </c>
      <c r="L39" s="1">
        <v>65</v>
      </c>
      <c r="M39" s="1">
        <v>56</v>
      </c>
      <c r="N39" s="1">
        <v>70</v>
      </c>
      <c r="O39" s="1">
        <v>66</v>
      </c>
      <c r="P39" s="1">
        <v>75</v>
      </c>
      <c r="Q39" s="1">
        <v>79</v>
      </c>
      <c r="R39" s="1">
        <v>85</v>
      </c>
      <c r="S39" s="1">
        <v>90</v>
      </c>
      <c r="T39" s="1">
        <v>100</v>
      </c>
      <c r="U39" s="1">
        <v>99</v>
      </c>
      <c r="V39" s="1"/>
      <c r="W39" s="1"/>
      <c r="X39" s="1"/>
      <c r="Y39" s="1"/>
      <c r="Z39" s="1"/>
      <c r="AA39" s="1"/>
    </row>
    <row r="40" spans="1:27">
      <c r="A40" s="2" t="s">
        <v>394</v>
      </c>
      <c r="B40" s="1">
        <v>0</v>
      </c>
      <c r="C40" s="1">
        <v>12</v>
      </c>
      <c r="D40" s="1">
        <v>20</v>
      </c>
      <c r="E40" s="1">
        <v>27</v>
      </c>
      <c r="F40" s="1">
        <v>40</v>
      </c>
      <c r="G40" s="1">
        <v>38</v>
      </c>
      <c r="H40" s="1">
        <v>60</v>
      </c>
      <c r="I40" s="1">
        <v>47</v>
      </c>
      <c r="J40" s="1">
        <v>63</v>
      </c>
      <c r="K40" s="1">
        <v>57</v>
      </c>
      <c r="L40" s="1">
        <v>66</v>
      </c>
      <c r="M40" s="1">
        <v>65</v>
      </c>
      <c r="N40" s="1">
        <v>69</v>
      </c>
      <c r="O40" s="1">
        <v>73</v>
      </c>
      <c r="P40" s="1">
        <v>72</v>
      </c>
      <c r="Q40" s="1">
        <v>81</v>
      </c>
      <c r="R40" s="1">
        <v>75</v>
      </c>
      <c r="S40" s="1">
        <v>87</v>
      </c>
      <c r="T40" s="1">
        <v>85</v>
      </c>
      <c r="U40" s="1">
        <v>93</v>
      </c>
      <c r="V40" s="1">
        <v>93</v>
      </c>
      <c r="W40" s="1">
        <v>98</v>
      </c>
      <c r="X40" s="1">
        <v>100</v>
      </c>
      <c r="Y40" s="1">
        <v>99</v>
      </c>
      <c r="Z40" s="1"/>
      <c r="AA40" s="1"/>
    </row>
    <row r="41" spans="1:27">
      <c r="A41" s="2" t="s">
        <v>395</v>
      </c>
      <c r="B41" s="1">
        <v>0</v>
      </c>
      <c r="C41" s="1">
        <v>17</v>
      </c>
      <c r="D41" s="1">
        <v>30</v>
      </c>
      <c r="E41" s="1">
        <v>32</v>
      </c>
      <c r="F41" s="1">
        <v>60</v>
      </c>
      <c r="G41" s="1">
        <v>46</v>
      </c>
      <c r="H41" s="1">
        <v>64</v>
      </c>
      <c r="I41" s="1">
        <v>58</v>
      </c>
      <c r="J41" s="1">
        <v>68</v>
      </c>
      <c r="K41" s="1">
        <v>69</v>
      </c>
      <c r="L41" s="1">
        <v>71</v>
      </c>
      <c r="M41" s="1">
        <v>77</v>
      </c>
      <c r="N41" s="1">
        <v>75</v>
      </c>
      <c r="O41" s="1">
        <v>84</v>
      </c>
      <c r="P41" s="1">
        <v>80</v>
      </c>
      <c r="Q41" s="1">
        <v>90</v>
      </c>
      <c r="R41" s="1">
        <v>85</v>
      </c>
      <c r="S41" s="1">
        <v>95</v>
      </c>
      <c r="T41" s="1">
        <v>90</v>
      </c>
      <c r="U41" s="1">
        <v>98</v>
      </c>
      <c r="V41" s="1">
        <v>95</v>
      </c>
      <c r="W41" s="1">
        <v>99</v>
      </c>
      <c r="X41" s="1">
        <v>100</v>
      </c>
      <c r="Y41" s="1">
        <v>99</v>
      </c>
      <c r="Z41" s="1"/>
      <c r="AA41" s="1"/>
    </row>
    <row r="42" spans="1:27">
      <c r="A42" s="2" t="s">
        <v>396</v>
      </c>
      <c r="B42" s="1">
        <v>0</v>
      </c>
      <c r="C42" s="1">
        <v>20</v>
      </c>
      <c r="D42" s="1">
        <v>20</v>
      </c>
      <c r="E42" s="1">
        <v>35</v>
      </c>
      <c r="F42" s="1">
        <v>40</v>
      </c>
      <c r="G42" s="1">
        <v>45</v>
      </c>
      <c r="H42" s="1">
        <v>60</v>
      </c>
      <c r="I42" s="1">
        <v>52</v>
      </c>
      <c r="J42" s="1">
        <v>65</v>
      </c>
      <c r="K42" s="1">
        <v>61</v>
      </c>
      <c r="L42" s="1">
        <v>70</v>
      </c>
      <c r="M42" s="1">
        <v>69</v>
      </c>
      <c r="N42" s="1">
        <v>75</v>
      </c>
      <c r="O42" s="1">
        <v>78</v>
      </c>
      <c r="P42" s="1">
        <v>85</v>
      </c>
      <c r="Q42" s="1">
        <v>89</v>
      </c>
      <c r="R42" s="1">
        <v>100</v>
      </c>
      <c r="S42" s="1">
        <v>99</v>
      </c>
      <c r="T42" s="1"/>
      <c r="U42" s="1"/>
      <c r="V42" s="1"/>
      <c r="W42" s="1"/>
      <c r="X42" s="1"/>
      <c r="Y42" s="1"/>
      <c r="Z42" s="1"/>
      <c r="AA42" s="1"/>
    </row>
    <row r="43" spans="1:27">
      <c r="A43" s="2" t="s">
        <v>397</v>
      </c>
      <c r="B43" s="1">
        <v>0</v>
      </c>
      <c r="C43" s="1">
        <v>10</v>
      </c>
      <c r="D43" s="1">
        <v>20</v>
      </c>
      <c r="E43" s="1">
        <v>24</v>
      </c>
      <c r="F43" s="1">
        <v>40</v>
      </c>
      <c r="G43" s="1">
        <v>38</v>
      </c>
      <c r="H43" s="1">
        <v>60</v>
      </c>
      <c r="I43" s="1">
        <v>52</v>
      </c>
      <c r="J43" s="1">
        <v>65</v>
      </c>
      <c r="K43" s="1">
        <v>63</v>
      </c>
      <c r="L43" s="1">
        <v>70</v>
      </c>
      <c r="M43" s="1">
        <v>71</v>
      </c>
      <c r="N43" s="1">
        <v>75</v>
      </c>
      <c r="O43" s="1">
        <v>79</v>
      </c>
      <c r="P43" s="1">
        <v>85</v>
      </c>
      <c r="Q43" s="1">
        <v>85</v>
      </c>
      <c r="R43" s="1">
        <v>89</v>
      </c>
      <c r="S43" s="1">
        <v>90</v>
      </c>
      <c r="T43" s="1">
        <v>93</v>
      </c>
      <c r="U43" s="1">
        <v>94</v>
      </c>
      <c r="V43" s="1">
        <v>96</v>
      </c>
      <c r="W43" s="1">
        <v>99</v>
      </c>
      <c r="X43" s="1">
        <v>100</v>
      </c>
      <c r="Y43" s="1">
        <v>99</v>
      </c>
      <c r="Z43" s="1"/>
      <c r="AA43" s="1"/>
    </row>
    <row r="44" spans="1:27">
      <c r="A44" s="2" t="s">
        <v>398</v>
      </c>
      <c r="B44" s="1">
        <v>0</v>
      </c>
      <c r="C44" s="1">
        <v>16</v>
      </c>
      <c r="D44" s="1">
        <v>20</v>
      </c>
      <c r="E44" s="1">
        <v>31</v>
      </c>
      <c r="F44" s="1">
        <v>40</v>
      </c>
      <c r="G44" s="1">
        <v>44</v>
      </c>
      <c r="H44" s="1">
        <v>60</v>
      </c>
      <c r="I44" s="1">
        <v>54</v>
      </c>
      <c r="J44" s="1">
        <v>65</v>
      </c>
      <c r="K44" s="1">
        <v>64</v>
      </c>
      <c r="L44" s="1">
        <v>70</v>
      </c>
      <c r="M44" s="1">
        <v>73</v>
      </c>
      <c r="N44" s="1">
        <v>75</v>
      </c>
      <c r="O44" s="1">
        <v>82</v>
      </c>
      <c r="P44" s="1">
        <v>85</v>
      </c>
      <c r="Q44" s="1">
        <v>88</v>
      </c>
      <c r="R44" s="1">
        <v>90</v>
      </c>
      <c r="S44" s="1">
        <v>93</v>
      </c>
      <c r="T44" s="1">
        <v>95</v>
      </c>
      <c r="U44" s="1">
        <v>98</v>
      </c>
      <c r="V44" s="1">
        <v>100</v>
      </c>
      <c r="W44" s="1">
        <v>99</v>
      </c>
      <c r="X44" s="1"/>
      <c r="Y44" s="1"/>
      <c r="Z44" s="1"/>
      <c r="AA44" s="1"/>
    </row>
    <row r="45" spans="1:27">
      <c r="A45" s="2" t="s">
        <v>399</v>
      </c>
      <c r="B45" s="1">
        <v>0</v>
      </c>
      <c r="C45" s="1">
        <v>12</v>
      </c>
      <c r="D45" s="1">
        <v>20</v>
      </c>
      <c r="E45" s="1">
        <v>28</v>
      </c>
      <c r="F45" s="1">
        <v>40</v>
      </c>
      <c r="G45" s="1">
        <v>41</v>
      </c>
      <c r="H45" s="1">
        <v>60</v>
      </c>
      <c r="I45" s="1">
        <v>57</v>
      </c>
      <c r="J45" s="1">
        <v>68</v>
      </c>
      <c r="K45" s="1">
        <v>70</v>
      </c>
      <c r="L45" s="1">
        <v>75</v>
      </c>
      <c r="M45" s="1">
        <v>81</v>
      </c>
      <c r="N45" s="1">
        <v>85</v>
      </c>
      <c r="O45" s="1">
        <v>89</v>
      </c>
      <c r="P45" s="1">
        <v>90</v>
      </c>
      <c r="Q45" s="1">
        <v>96</v>
      </c>
      <c r="R45" s="1">
        <v>95</v>
      </c>
      <c r="S45" s="1">
        <v>99</v>
      </c>
      <c r="T45" s="1">
        <v>100</v>
      </c>
      <c r="U45" s="1">
        <v>99</v>
      </c>
      <c r="V45" s="1"/>
      <c r="W45" s="1"/>
      <c r="X45" s="1"/>
      <c r="Y45" s="1"/>
      <c r="Z45" s="1"/>
      <c r="AA45" s="1"/>
    </row>
    <row r="46" spans="1:27">
      <c r="A46" s="2" t="s">
        <v>400</v>
      </c>
      <c r="B46" s="1">
        <v>0</v>
      </c>
      <c r="C46" s="1">
        <v>18</v>
      </c>
      <c r="D46" s="1">
        <v>30</v>
      </c>
      <c r="E46" s="1">
        <v>32</v>
      </c>
      <c r="F46" s="1">
        <v>60</v>
      </c>
      <c r="G46" s="1">
        <v>50</v>
      </c>
      <c r="H46" s="1">
        <v>68</v>
      </c>
      <c r="I46" s="1">
        <v>66</v>
      </c>
      <c r="J46" s="1">
        <v>75</v>
      </c>
      <c r="K46" s="1">
        <v>80</v>
      </c>
      <c r="L46" s="1">
        <v>85</v>
      </c>
      <c r="M46" s="1">
        <v>91</v>
      </c>
      <c r="N46" s="1">
        <v>93</v>
      </c>
      <c r="O46" s="1">
        <v>97</v>
      </c>
      <c r="P46" s="1">
        <v>100</v>
      </c>
      <c r="Q46" s="1">
        <v>99</v>
      </c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>
      <c r="A47" s="2" t="s">
        <v>401</v>
      </c>
      <c r="B47" s="1">
        <v>0</v>
      </c>
      <c r="C47" s="1">
        <v>20</v>
      </c>
      <c r="D47" s="1">
        <v>30</v>
      </c>
      <c r="E47" s="1">
        <v>36</v>
      </c>
      <c r="F47" s="1">
        <v>60</v>
      </c>
      <c r="G47" s="1">
        <v>53</v>
      </c>
      <c r="H47" s="1">
        <v>68</v>
      </c>
      <c r="I47" s="1">
        <v>65</v>
      </c>
      <c r="J47" s="1">
        <v>75</v>
      </c>
      <c r="K47" s="1">
        <v>76</v>
      </c>
      <c r="L47" s="1">
        <v>80</v>
      </c>
      <c r="M47" s="1">
        <v>85</v>
      </c>
      <c r="N47" s="1">
        <v>85</v>
      </c>
      <c r="O47" s="1">
        <v>96</v>
      </c>
      <c r="P47" s="1">
        <v>89</v>
      </c>
      <c r="Q47" s="1">
        <v>96</v>
      </c>
      <c r="R47" s="1">
        <v>93</v>
      </c>
      <c r="S47" s="1">
        <v>98</v>
      </c>
      <c r="T47" s="1">
        <v>96</v>
      </c>
      <c r="U47" s="1">
        <v>99</v>
      </c>
      <c r="V47" s="1">
        <v>100</v>
      </c>
      <c r="W47" s="1">
        <v>99</v>
      </c>
      <c r="X47" s="1"/>
      <c r="Y47" s="1"/>
      <c r="Z47" s="1"/>
      <c r="AA47" s="1"/>
    </row>
  </sheetData>
  <mergeCells count="13">
    <mergeCell ref="V1:W1"/>
    <mergeCell ref="X1:Y1"/>
    <mergeCell ref="Z1:AA1"/>
    <mergeCell ref="L1:M1"/>
    <mergeCell ref="N1:O1"/>
    <mergeCell ref="P1:Q1"/>
    <mergeCell ref="R1:S1"/>
    <mergeCell ref="T1:U1"/>
    <mergeCell ref="B1:C1"/>
    <mergeCell ref="D1:E1"/>
    <mergeCell ref="F1:G1"/>
    <mergeCell ref="H1:I1"/>
    <mergeCell ref="J1:K1"/>
  </mergeCells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3" master="" otherUserPermission="visible"/>
  <rangeList sheetStid="7" master="" otherUserPermission="visible"/>
  <rangeList sheetStid="8" master="" otherUserPermission="visible"/>
  <rangeList sheetStid="10" master="" otherUserPermission="visible"/>
  <rangeList sheetStid="2" master="" otherUserPermission="visible"/>
  <rangeList sheetStid="4" master="" otherUserPermission="visible"/>
  <rangeList sheetStid="5" master="" otherUserPermission="visible"/>
  <rangeList sheetStid="6" master="" otherUserPermission="visible"/>
  <rangeList sheetStid="9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APLICACION</vt:lpstr>
      <vt:lpstr>CORRECCION</vt:lpstr>
      <vt:lpstr>FACETAS GROSSMAN</vt:lpstr>
      <vt:lpstr>RPTA SIGNIFICATIVAS</vt:lpstr>
      <vt:lpstr>Sheet1</vt:lpstr>
      <vt:lpstr>RESULTADOS</vt:lpstr>
      <vt:lpstr>PUNT-DIRECTA</vt:lpstr>
      <vt:lpstr>PERCENTIL</vt:lpstr>
      <vt:lpstr>PERCENTIL2</vt:lpstr>
      <vt:lpstr>PERCENTIL GROSSMAN</vt:lpstr>
      <vt:lpstr>TABLAPD</vt:lpstr>
      <vt:lpstr>TABLAPER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Aldo Fernandez</dc:creator>
  <cp:lastModifiedBy>Jose Luis Palacios Gironas</cp:lastModifiedBy>
  <cp:lastPrinted>2024-09-25T13:35:00Z</cp:lastPrinted>
  <dcterms:created xsi:type="dcterms:W3CDTF">2019-06-29T00:09:00Z</dcterms:created>
  <dcterms:modified xsi:type="dcterms:W3CDTF">2025-09-22T09:57:22Z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4A79467A90834E9FB25EB02727D6482A_12</vt:lpwstr>
  </property>
  <property fmtid="{D5CDD505-2E9C-101B-9397-08002B2CF9AE}" pid="3" name="KSOProductBuildVer">
    <vt:lpwstr>3082-12.2.0.20326</vt:lpwstr>
  </property>
</Properties>
</file>